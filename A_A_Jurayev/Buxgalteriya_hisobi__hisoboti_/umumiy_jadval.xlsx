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Бухгалтерия\Қўшимча топшириқ\Презентация\"/>
    </mc:Choice>
  </mc:AlternateContent>
  <bookViews>
    <workbookView xWindow="-105" yWindow="-105" windowWidth="19425" windowHeight="11505" activeTab="1"/>
  </bookViews>
  <sheets>
    <sheet name="даромад харажат" sheetId="1" r:id="rId1"/>
    <sheet name="Выслуга 2025" sheetId="10" r:id="rId2"/>
    <sheet name="Таътил" sheetId="6" r:id="rId3"/>
    <sheet name="50-60 ёш" sheetId="7" r:id="rId4"/>
    <sheet name="Больничный" sheetId="8" r:id="rId5"/>
    <sheet name="Дафн" sheetId="11" r:id="rId6"/>
    <sheet name="шартномалар" sheetId="5" r:id="rId7"/>
    <sheet name="омбор чиким" sheetId="9" r:id="rId8"/>
  </sheets>
  <definedNames>
    <definedName name="_xlnm._FilterDatabase" localSheetId="4" hidden="1">Больничный!$A$3:$F$106</definedName>
    <definedName name="_xlnm._FilterDatabase" localSheetId="1" hidden="1">'Выслуга 2025'!$A$3:$J$122</definedName>
    <definedName name="_xlnm._FilterDatabase" localSheetId="0" hidden="1">'даромад харажат'!$L$1:$L$16</definedName>
    <definedName name="_xlnm._FilterDatabase" localSheetId="5" hidden="1">Дафн!$A$3:$D$5</definedName>
    <definedName name="_xlnm._FilterDatabase" localSheetId="7" hidden="1">'омбор чиким'!$A$6:$H$797</definedName>
    <definedName name="_xlnm._FilterDatabase" localSheetId="2" hidden="1">Таътил!$A$4:$K$162</definedName>
    <definedName name="_xlnm._FilterDatabase" localSheetId="6" hidden="1">шартномалар!$A$6:$M$85</definedName>
    <definedName name="_xlnm.Print_Titles" localSheetId="6">шартномалар!$4:$5</definedName>
    <definedName name="_xlnm.Print_Area" localSheetId="6">шартномалар!$A$1:$K$85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5" l="1"/>
  <c r="F5" i="5" s="1"/>
  <c r="A5" i="11" l="1"/>
  <c r="A4" i="11"/>
  <c r="A5" i="10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5" i="8" l="1"/>
  <c r="F5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4" i="8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H797" i="9" l="1"/>
  <c r="A797" i="9"/>
  <c r="H796" i="9"/>
  <c r="A796" i="9"/>
  <c r="H795" i="9"/>
  <c r="A795" i="9"/>
  <c r="H794" i="9"/>
  <c r="A794" i="9"/>
  <c r="H793" i="9"/>
  <c r="A793" i="9"/>
  <c r="H792" i="9"/>
  <c r="A792" i="9"/>
  <c r="H791" i="9"/>
  <c r="A791" i="9"/>
  <c r="H790" i="9"/>
  <c r="A790" i="9"/>
  <c r="H789" i="9"/>
  <c r="A789" i="9"/>
  <c r="H788" i="9"/>
  <c r="A788" i="9"/>
  <c r="H787" i="9"/>
  <c r="A787" i="9"/>
  <c r="H786" i="9"/>
  <c r="A786" i="9"/>
  <c r="H785" i="9"/>
  <c r="A785" i="9"/>
  <c r="H784" i="9"/>
  <c r="A784" i="9"/>
  <c r="H783" i="9"/>
  <c r="A783" i="9"/>
  <c r="H782" i="9"/>
  <c r="A782" i="9"/>
  <c r="H781" i="9"/>
  <c r="A781" i="9"/>
  <c r="H780" i="9"/>
  <c r="A780" i="9"/>
  <c r="H779" i="9"/>
  <c r="A779" i="9"/>
  <c r="H778" i="9"/>
  <c r="A778" i="9"/>
  <c r="H777" i="9"/>
  <c r="A777" i="9"/>
  <c r="H776" i="9"/>
  <c r="A776" i="9"/>
  <c r="H775" i="9"/>
  <c r="A775" i="9"/>
  <c r="H774" i="9"/>
  <c r="A774" i="9"/>
  <c r="H773" i="9"/>
  <c r="A773" i="9"/>
  <c r="H772" i="9"/>
  <c r="A772" i="9"/>
  <c r="H771" i="9"/>
  <c r="A771" i="9"/>
  <c r="H770" i="9"/>
  <c r="A770" i="9"/>
  <c r="H769" i="9"/>
  <c r="A769" i="9"/>
  <c r="H768" i="9"/>
  <c r="A768" i="9"/>
  <c r="H767" i="9"/>
  <c r="A767" i="9"/>
  <c r="H766" i="9"/>
  <c r="A766" i="9"/>
  <c r="H765" i="9"/>
  <c r="A765" i="9"/>
  <c r="H764" i="9"/>
  <c r="A764" i="9"/>
  <c r="H763" i="9"/>
  <c r="A763" i="9"/>
  <c r="H762" i="9"/>
  <c r="A762" i="9"/>
  <c r="H761" i="9"/>
  <c r="A761" i="9"/>
  <c r="H760" i="9"/>
  <c r="A760" i="9"/>
  <c r="H759" i="9"/>
  <c r="A759" i="9"/>
  <c r="H758" i="9"/>
  <c r="A758" i="9"/>
  <c r="H757" i="9"/>
  <c r="A757" i="9"/>
  <c r="H756" i="9"/>
  <c r="A756" i="9"/>
  <c r="H755" i="9"/>
  <c r="A755" i="9"/>
  <c r="H754" i="9"/>
  <c r="A754" i="9"/>
  <c r="H753" i="9"/>
  <c r="A753" i="9"/>
  <c r="H752" i="9"/>
  <c r="A752" i="9"/>
  <c r="H751" i="9"/>
  <c r="A751" i="9"/>
  <c r="H750" i="9"/>
  <c r="A750" i="9"/>
  <c r="H749" i="9"/>
  <c r="A749" i="9"/>
  <c r="H748" i="9"/>
  <c r="A748" i="9"/>
  <c r="H747" i="9"/>
  <c r="A747" i="9"/>
  <c r="H746" i="9"/>
  <c r="A746" i="9"/>
  <c r="H745" i="9"/>
  <c r="A745" i="9"/>
  <c r="H744" i="9"/>
  <c r="A744" i="9"/>
  <c r="H743" i="9"/>
  <c r="A743" i="9"/>
  <c r="H742" i="9"/>
  <c r="A742" i="9"/>
  <c r="H741" i="9"/>
  <c r="A741" i="9"/>
  <c r="H740" i="9"/>
  <c r="A740" i="9"/>
  <c r="H739" i="9"/>
  <c r="A739" i="9"/>
  <c r="H738" i="9"/>
  <c r="A738" i="9"/>
  <c r="H737" i="9"/>
  <c r="A737" i="9"/>
  <c r="H736" i="9"/>
  <c r="A736" i="9"/>
  <c r="H735" i="9"/>
  <c r="A735" i="9"/>
  <c r="H734" i="9"/>
  <c r="A734" i="9"/>
  <c r="H733" i="9"/>
  <c r="A733" i="9"/>
  <c r="H732" i="9"/>
  <c r="A732" i="9"/>
  <c r="H731" i="9"/>
  <c r="A731" i="9"/>
  <c r="H730" i="9"/>
  <c r="A730" i="9"/>
  <c r="H729" i="9"/>
  <c r="A729" i="9"/>
  <c r="H728" i="9"/>
  <c r="A728" i="9"/>
  <c r="H727" i="9"/>
  <c r="A727" i="9"/>
  <c r="H726" i="9"/>
  <c r="A726" i="9"/>
  <c r="H725" i="9"/>
  <c r="A725" i="9"/>
  <c r="H724" i="9"/>
  <c r="A724" i="9"/>
  <c r="H723" i="9"/>
  <c r="A723" i="9"/>
  <c r="H722" i="9"/>
  <c r="A722" i="9"/>
  <c r="H721" i="9"/>
  <c r="A721" i="9"/>
  <c r="H720" i="9"/>
  <c r="A720" i="9"/>
  <c r="H719" i="9"/>
  <c r="A719" i="9"/>
  <c r="H718" i="9"/>
  <c r="A718" i="9"/>
  <c r="H717" i="9"/>
  <c r="A717" i="9"/>
  <c r="H716" i="9"/>
  <c r="A716" i="9"/>
  <c r="H715" i="9"/>
  <c r="A715" i="9"/>
  <c r="H714" i="9"/>
  <c r="A714" i="9"/>
  <c r="H713" i="9"/>
  <c r="A713" i="9"/>
  <c r="H712" i="9"/>
  <c r="A712" i="9"/>
  <c r="H711" i="9"/>
  <c r="A711" i="9"/>
  <c r="H710" i="9"/>
  <c r="A710" i="9"/>
  <c r="H709" i="9"/>
  <c r="A709" i="9"/>
  <c r="H708" i="9"/>
  <c r="A708" i="9"/>
  <c r="H707" i="9"/>
  <c r="A707" i="9"/>
  <c r="H706" i="9"/>
  <c r="A706" i="9"/>
  <c r="H705" i="9"/>
  <c r="A705" i="9"/>
  <c r="H704" i="9"/>
  <c r="A704" i="9"/>
  <c r="H703" i="9"/>
  <c r="A703" i="9"/>
  <c r="H702" i="9"/>
  <c r="A702" i="9"/>
  <c r="H701" i="9"/>
  <c r="A701" i="9"/>
  <c r="H700" i="9"/>
  <c r="A700" i="9"/>
  <c r="H699" i="9"/>
  <c r="A699" i="9"/>
  <c r="H698" i="9"/>
  <c r="A698" i="9"/>
  <c r="H697" i="9"/>
  <c r="A697" i="9"/>
  <c r="H696" i="9"/>
  <c r="A696" i="9"/>
  <c r="H695" i="9"/>
  <c r="A695" i="9"/>
  <c r="H694" i="9"/>
  <c r="A694" i="9"/>
  <c r="H693" i="9"/>
  <c r="A693" i="9"/>
  <c r="H692" i="9"/>
  <c r="A692" i="9"/>
  <c r="H691" i="9"/>
  <c r="A691" i="9"/>
  <c r="H690" i="9"/>
  <c r="A690" i="9"/>
  <c r="H689" i="9"/>
  <c r="A689" i="9"/>
  <c r="H688" i="9"/>
  <c r="A688" i="9"/>
  <c r="H687" i="9"/>
  <c r="A687" i="9"/>
  <c r="H686" i="9"/>
  <c r="A686" i="9"/>
  <c r="H685" i="9"/>
  <c r="A685" i="9"/>
  <c r="H684" i="9"/>
  <c r="A684" i="9"/>
  <c r="H683" i="9"/>
  <c r="A683" i="9"/>
  <c r="H682" i="9"/>
  <c r="A682" i="9"/>
  <c r="H681" i="9"/>
  <c r="A681" i="9"/>
  <c r="H680" i="9"/>
  <c r="A680" i="9"/>
  <c r="H679" i="9"/>
  <c r="A679" i="9"/>
  <c r="H678" i="9"/>
  <c r="A678" i="9"/>
  <c r="H677" i="9"/>
  <c r="A677" i="9"/>
  <c r="H676" i="9"/>
  <c r="A676" i="9"/>
  <c r="H675" i="9"/>
  <c r="A675" i="9"/>
  <c r="H674" i="9"/>
  <c r="A674" i="9"/>
  <c r="H673" i="9"/>
  <c r="A673" i="9"/>
  <c r="H672" i="9"/>
  <c r="A672" i="9"/>
  <c r="H671" i="9"/>
  <c r="A671" i="9"/>
  <c r="H670" i="9"/>
  <c r="A670" i="9"/>
  <c r="H669" i="9"/>
  <c r="A669" i="9"/>
  <c r="H668" i="9"/>
  <c r="A668" i="9"/>
  <c r="H667" i="9"/>
  <c r="A667" i="9"/>
  <c r="H666" i="9"/>
  <c r="A666" i="9"/>
  <c r="H665" i="9"/>
  <c r="A665" i="9"/>
  <c r="H664" i="9"/>
  <c r="A664" i="9"/>
  <c r="H663" i="9"/>
  <c r="A663" i="9"/>
  <c r="H662" i="9"/>
  <c r="A662" i="9"/>
  <c r="H661" i="9"/>
  <c r="A661" i="9"/>
  <c r="H660" i="9"/>
  <c r="A660" i="9"/>
  <c r="H659" i="9"/>
  <c r="A659" i="9"/>
  <c r="H658" i="9"/>
  <c r="A658" i="9"/>
  <c r="H657" i="9"/>
  <c r="A657" i="9"/>
  <c r="H656" i="9"/>
  <c r="A656" i="9"/>
  <c r="H655" i="9"/>
  <c r="A655" i="9"/>
  <c r="H654" i="9"/>
  <c r="A654" i="9"/>
  <c r="H653" i="9"/>
  <c r="A653" i="9"/>
  <c r="H652" i="9"/>
  <c r="A652" i="9"/>
  <c r="H651" i="9"/>
  <c r="A651" i="9"/>
  <c r="H650" i="9"/>
  <c r="A650" i="9"/>
  <c r="H649" i="9"/>
  <c r="A649" i="9"/>
  <c r="H648" i="9"/>
  <c r="A648" i="9"/>
  <c r="H647" i="9"/>
  <c r="A647" i="9"/>
  <c r="H646" i="9"/>
  <c r="A646" i="9"/>
  <c r="H645" i="9"/>
  <c r="A645" i="9"/>
  <c r="H644" i="9"/>
  <c r="A644" i="9"/>
  <c r="H643" i="9"/>
  <c r="A643" i="9"/>
  <c r="H642" i="9"/>
  <c r="A642" i="9"/>
  <c r="H641" i="9"/>
  <c r="A641" i="9"/>
  <c r="H640" i="9"/>
  <c r="A640" i="9"/>
  <c r="H639" i="9"/>
  <c r="A639" i="9"/>
  <c r="H638" i="9"/>
  <c r="A638" i="9"/>
  <c r="H637" i="9"/>
  <c r="A637" i="9"/>
  <c r="H636" i="9"/>
  <c r="A636" i="9"/>
  <c r="H635" i="9"/>
  <c r="A635" i="9"/>
  <c r="H634" i="9"/>
  <c r="A634" i="9"/>
  <c r="H633" i="9"/>
  <c r="A633" i="9"/>
  <c r="H632" i="9"/>
  <c r="A632" i="9"/>
  <c r="H631" i="9"/>
  <c r="A631" i="9"/>
  <c r="H630" i="9"/>
  <c r="A630" i="9"/>
  <c r="H629" i="9"/>
  <c r="A629" i="9"/>
  <c r="H628" i="9"/>
  <c r="A628" i="9"/>
  <c r="H627" i="9"/>
  <c r="A627" i="9"/>
  <c r="H626" i="9"/>
  <c r="A626" i="9"/>
  <c r="H625" i="9"/>
  <c r="A625" i="9"/>
  <c r="H624" i="9"/>
  <c r="A624" i="9"/>
  <c r="H623" i="9"/>
  <c r="A623" i="9"/>
  <c r="H622" i="9"/>
  <c r="A622" i="9"/>
  <c r="H621" i="9"/>
  <c r="A621" i="9"/>
  <c r="H620" i="9"/>
  <c r="A620" i="9"/>
  <c r="H619" i="9"/>
  <c r="A619" i="9"/>
  <c r="H618" i="9"/>
  <c r="A618" i="9"/>
  <c r="H617" i="9"/>
  <c r="A617" i="9"/>
  <c r="H616" i="9"/>
  <c r="A616" i="9"/>
  <c r="H615" i="9"/>
  <c r="A615" i="9"/>
  <c r="H614" i="9"/>
  <c r="A614" i="9"/>
  <c r="H613" i="9"/>
  <c r="A613" i="9"/>
  <c r="H612" i="9"/>
  <c r="A612" i="9"/>
  <c r="H611" i="9"/>
  <c r="A611" i="9"/>
  <c r="H610" i="9"/>
  <c r="A610" i="9"/>
  <c r="H609" i="9"/>
  <c r="A609" i="9"/>
  <c r="H608" i="9"/>
  <c r="A608" i="9"/>
  <c r="H607" i="9"/>
  <c r="A607" i="9"/>
  <c r="H606" i="9"/>
  <c r="A606" i="9"/>
  <c r="H605" i="9"/>
  <c r="A605" i="9"/>
  <c r="H604" i="9"/>
  <c r="A604" i="9"/>
  <c r="H603" i="9"/>
  <c r="A603" i="9"/>
  <c r="H602" i="9"/>
  <c r="A602" i="9"/>
  <c r="H601" i="9"/>
  <c r="A601" i="9"/>
  <c r="H600" i="9"/>
  <c r="A600" i="9"/>
  <c r="H599" i="9"/>
  <c r="A599" i="9"/>
  <c r="H598" i="9"/>
  <c r="A598" i="9"/>
  <c r="H597" i="9"/>
  <c r="A597" i="9"/>
  <c r="H596" i="9"/>
  <c r="A596" i="9"/>
  <c r="H595" i="9"/>
  <c r="A595" i="9"/>
  <c r="H594" i="9"/>
  <c r="A594" i="9"/>
  <c r="H593" i="9"/>
  <c r="A593" i="9"/>
  <c r="H592" i="9"/>
  <c r="A592" i="9"/>
  <c r="H591" i="9"/>
  <c r="A591" i="9"/>
  <c r="H590" i="9"/>
  <c r="A590" i="9"/>
  <c r="H589" i="9"/>
  <c r="A589" i="9"/>
  <c r="H588" i="9"/>
  <c r="A588" i="9"/>
  <c r="H587" i="9"/>
  <c r="A587" i="9"/>
  <c r="H586" i="9"/>
  <c r="A586" i="9"/>
  <c r="H585" i="9"/>
  <c r="A585" i="9"/>
  <c r="H584" i="9"/>
  <c r="A584" i="9"/>
  <c r="H583" i="9"/>
  <c r="A583" i="9"/>
  <c r="H582" i="9"/>
  <c r="A582" i="9"/>
  <c r="H581" i="9"/>
  <c r="A581" i="9"/>
  <c r="H580" i="9"/>
  <c r="A580" i="9"/>
  <c r="H579" i="9"/>
  <c r="A579" i="9"/>
  <c r="H578" i="9"/>
  <c r="A578" i="9"/>
  <c r="H577" i="9"/>
  <c r="A577" i="9"/>
  <c r="H576" i="9"/>
  <c r="A576" i="9"/>
  <c r="H575" i="9"/>
  <c r="A575" i="9"/>
  <c r="H574" i="9"/>
  <c r="A574" i="9"/>
  <c r="H573" i="9"/>
  <c r="A573" i="9"/>
  <c r="H572" i="9"/>
  <c r="A572" i="9"/>
  <c r="H571" i="9"/>
  <c r="A571" i="9"/>
  <c r="H570" i="9"/>
  <c r="A570" i="9"/>
  <c r="H569" i="9"/>
  <c r="A569" i="9"/>
  <c r="H568" i="9"/>
  <c r="A568" i="9"/>
  <c r="H567" i="9"/>
  <c r="A567" i="9"/>
  <c r="H566" i="9"/>
  <c r="A566" i="9"/>
  <c r="H565" i="9"/>
  <c r="A565" i="9"/>
  <c r="H564" i="9"/>
  <c r="A564" i="9"/>
  <c r="H563" i="9"/>
  <c r="A563" i="9"/>
  <c r="H562" i="9"/>
  <c r="A562" i="9"/>
  <c r="H561" i="9"/>
  <c r="A561" i="9"/>
  <c r="H560" i="9"/>
  <c r="A560" i="9"/>
  <c r="H559" i="9"/>
  <c r="A559" i="9"/>
  <c r="H558" i="9"/>
  <c r="A558" i="9"/>
  <c r="H557" i="9"/>
  <c r="A557" i="9"/>
  <c r="H556" i="9"/>
  <c r="A556" i="9"/>
  <c r="H555" i="9"/>
  <c r="A555" i="9"/>
  <c r="H554" i="9"/>
  <c r="A554" i="9"/>
  <c r="H553" i="9"/>
  <c r="A553" i="9"/>
  <c r="H552" i="9"/>
  <c r="A552" i="9"/>
  <c r="H551" i="9"/>
  <c r="A551" i="9"/>
  <c r="H550" i="9"/>
  <c r="A550" i="9"/>
  <c r="H549" i="9"/>
  <c r="A549" i="9"/>
  <c r="H548" i="9"/>
  <c r="A548" i="9"/>
  <c r="H547" i="9"/>
  <c r="A547" i="9"/>
  <c r="H546" i="9"/>
  <c r="A546" i="9"/>
  <c r="H545" i="9"/>
  <c r="A545" i="9"/>
  <c r="H544" i="9"/>
  <c r="A544" i="9"/>
  <c r="H543" i="9"/>
  <c r="A543" i="9"/>
  <c r="H542" i="9"/>
  <c r="A542" i="9"/>
  <c r="H541" i="9"/>
  <c r="A541" i="9"/>
  <c r="H540" i="9"/>
  <c r="A540" i="9"/>
  <c r="H539" i="9"/>
  <c r="A539" i="9"/>
  <c r="H538" i="9"/>
  <c r="A538" i="9"/>
  <c r="H537" i="9"/>
  <c r="A537" i="9"/>
  <c r="H536" i="9"/>
  <c r="A536" i="9"/>
  <c r="H535" i="9"/>
  <c r="A535" i="9"/>
  <c r="H534" i="9"/>
  <c r="A534" i="9"/>
  <c r="H533" i="9"/>
  <c r="A533" i="9"/>
  <c r="H532" i="9"/>
  <c r="A532" i="9"/>
  <c r="H531" i="9"/>
  <c r="A531" i="9"/>
  <c r="H530" i="9"/>
  <c r="A530" i="9"/>
  <c r="H529" i="9"/>
  <c r="A529" i="9"/>
  <c r="H528" i="9"/>
  <c r="A528" i="9"/>
  <c r="H527" i="9"/>
  <c r="A527" i="9"/>
  <c r="H526" i="9"/>
  <c r="A526" i="9"/>
  <c r="H525" i="9"/>
  <c r="A525" i="9"/>
  <c r="H524" i="9"/>
  <c r="A524" i="9"/>
  <c r="H523" i="9"/>
  <c r="A523" i="9"/>
  <c r="H522" i="9"/>
  <c r="A522" i="9"/>
  <c r="H521" i="9"/>
  <c r="A521" i="9"/>
  <c r="H520" i="9"/>
  <c r="A520" i="9"/>
  <c r="H519" i="9"/>
  <c r="A519" i="9"/>
  <c r="H518" i="9"/>
  <c r="A518" i="9"/>
  <c r="H517" i="9"/>
  <c r="A517" i="9"/>
  <c r="H516" i="9"/>
  <c r="A516" i="9"/>
  <c r="H515" i="9"/>
  <c r="A515" i="9"/>
  <c r="H514" i="9"/>
  <c r="A514" i="9"/>
  <c r="H513" i="9"/>
  <c r="A513" i="9"/>
  <c r="H512" i="9"/>
  <c r="A512" i="9"/>
  <c r="H511" i="9"/>
  <c r="A511" i="9"/>
  <c r="H510" i="9"/>
  <c r="A510" i="9"/>
  <c r="H509" i="9"/>
  <c r="A509" i="9"/>
  <c r="H508" i="9"/>
  <c r="A508" i="9"/>
  <c r="H507" i="9"/>
  <c r="A507" i="9"/>
  <c r="H506" i="9"/>
  <c r="A506" i="9"/>
  <c r="H505" i="9"/>
  <c r="A505" i="9"/>
  <c r="H504" i="9"/>
  <c r="A504" i="9"/>
  <c r="H503" i="9"/>
  <c r="A503" i="9"/>
  <c r="H502" i="9"/>
  <c r="A502" i="9"/>
  <c r="H501" i="9"/>
  <c r="A501" i="9"/>
  <c r="H500" i="9"/>
  <c r="A500" i="9"/>
  <c r="H499" i="9"/>
  <c r="A499" i="9"/>
  <c r="H498" i="9"/>
  <c r="A498" i="9"/>
  <c r="H497" i="9"/>
  <c r="A497" i="9"/>
  <c r="H496" i="9"/>
  <c r="A496" i="9"/>
  <c r="H495" i="9"/>
  <c r="A495" i="9"/>
  <c r="H494" i="9"/>
  <c r="A494" i="9"/>
  <c r="H493" i="9"/>
  <c r="A493" i="9"/>
  <c r="H492" i="9"/>
  <c r="A492" i="9"/>
  <c r="H491" i="9"/>
  <c r="A491" i="9"/>
  <c r="H490" i="9"/>
  <c r="A490" i="9"/>
  <c r="H489" i="9"/>
  <c r="A489" i="9"/>
  <c r="H488" i="9"/>
  <c r="A488" i="9"/>
  <c r="H487" i="9"/>
  <c r="A487" i="9"/>
  <c r="H486" i="9"/>
  <c r="A486" i="9"/>
  <c r="H485" i="9"/>
  <c r="A485" i="9"/>
  <c r="H484" i="9"/>
  <c r="A484" i="9"/>
  <c r="H483" i="9"/>
  <c r="A483" i="9"/>
  <c r="H482" i="9"/>
  <c r="A482" i="9"/>
  <c r="H481" i="9"/>
  <c r="A481" i="9"/>
  <c r="H480" i="9"/>
  <c r="A480" i="9"/>
  <c r="H479" i="9"/>
  <c r="A479" i="9"/>
  <c r="H478" i="9"/>
  <c r="A478" i="9"/>
  <c r="H477" i="9"/>
  <c r="A477" i="9"/>
  <c r="H476" i="9"/>
  <c r="A476" i="9"/>
  <c r="H475" i="9"/>
  <c r="A475" i="9"/>
  <c r="H474" i="9"/>
  <c r="A474" i="9"/>
  <c r="H473" i="9"/>
  <c r="A473" i="9"/>
  <c r="H472" i="9"/>
  <c r="A472" i="9"/>
  <c r="H471" i="9"/>
  <c r="A471" i="9"/>
  <c r="H470" i="9"/>
  <c r="A470" i="9"/>
  <c r="H469" i="9"/>
  <c r="A469" i="9"/>
  <c r="H468" i="9"/>
  <c r="A468" i="9"/>
  <c r="H467" i="9"/>
  <c r="A467" i="9"/>
  <c r="H466" i="9"/>
  <c r="A466" i="9"/>
  <c r="H465" i="9"/>
  <c r="A465" i="9"/>
  <c r="H464" i="9"/>
  <c r="A464" i="9"/>
  <c r="H463" i="9"/>
  <c r="A463" i="9"/>
  <c r="H462" i="9"/>
  <c r="A462" i="9"/>
  <c r="H461" i="9"/>
  <c r="A461" i="9"/>
  <c r="H460" i="9"/>
  <c r="A460" i="9"/>
  <c r="H459" i="9"/>
  <c r="A459" i="9"/>
  <c r="H458" i="9"/>
  <c r="A458" i="9"/>
  <c r="H457" i="9"/>
  <c r="A457" i="9"/>
  <c r="H456" i="9"/>
  <c r="A456" i="9"/>
  <c r="H455" i="9"/>
  <c r="A455" i="9"/>
  <c r="H454" i="9"/>
  <c r="A454" i="9"/>
  <c r="H453" i="9"/>
  <c r="A453" i="9"/>
  <c r="H452" i="9"/>
  <c r="A452" i="9"/>
  <c r="H451" i="9"/>
  <c r="A451" i="9"/>
  <c r="H450" i="9"/>
  <c r="A450" i="9"/>
  <c r="H449" i="9"/>
  <c r="A449" i="9"/>
  <c r="H448" i="9"/>
  <c r="A448" i="9"/>
  <c r="H447" i="9"/>
  <c r="A447" i="9"/>
  <c r="H446" i="9"/>
  <c r="A446" i="9"/>
  <c r="H445" i="9"/>
  <c r="A445" i="9"/>
  <c r="H444" i="9"/>
  <c r="A444" i="9"/>
  <c r="H443" i="9"/>
  <c r="A443" i="9"/>
  <c r="H442" i="9"/>
  <c r="A442" i="9"/>
  <c r="H441" i="9"/>
  <c r="A441" i="9"/>
  <c r="H440" i="9"/>
  <c r="A440" i="9"/>
  <c r="H439" i="9"/>
  <c r="A439" i="9"/>
  <c r="H438" i="9"/>
  <c r="A438" i="9"/>
  <c r="H437" i="9"/>
  <c r="A437" i="9"/>
  <c r="H436" i="9"/>
  <c r="A436" i="9"/>
  <c r="H435" i="9"/>
  <c r="A435" i="9"/>
  <c r="H434" i="9"/>
  <c r="A434" i="9"/>
  <c r="H433" i="9"/>
  <c r="A433" i="9"/>
  <c r="H432" i="9"/>
  <c r="A432" i="9"/>
  <c r="H431" i="9"/>
  <c r="A431" i="9"/>
  <c r="H430" i="9"/>
  <c r="A430" i="9"/>
  <c r="H429" i="9"/>
  <c r="A429" i="9"/>
  <c r="H428" i="9"/>
  <c r="A428" i="9"/>
  <c r="H427" i="9"/>
  <c r="A427" i="9"/>
  <c r="H426" i="9"/>
  <c r="A426" i="9"/>
  <c r="H425" i="9"/>
  <c r="A425" i="9"/>
  <c r="H424" i="9"/>
  <c r="A424" i="9"/>
  <c r="H423" i="9"/>
  <c r="A423" i="9"/>
  <c r="H422" i="9"/>
  <c r="A422" i="9"/>
  <c r="H421" i="9"/>
  <c r="A421" i="9"/>
  <c r="H420" i="9"/>
  <c r="A420" i="9"/>
  <c r="H419" i="9"/>
  <c r="A419" i="9"/>
  <c r="H418" i="9"/>
  <c r="A418" i="9"/>
  <c r="H417" i="9"/>
  <c r="A417" i="9"/>
  <c r="H416" i="9"/>
  <c r="A416" i="9"/>
  <c r="H415" i="9"/>
  <c r="A415" i="9"/>
  <c r="H414" i="9"/>
  <c r="A414" i="9"/>
  <c r="H413" i="9"/>
  <c r="A413" i="9"/>
  <c r="H412" i="9"/>
  <c r="A412" i="9"/>
  <c r="H411" i="9"/>
  <c r="A411" i="9"/>
  <c r="H410" i="9"/>
  <c r="A410" i="9"/>
  <c r="H409" i="9"/>
  <c r="A409" i="9"/>
  <c r="H408" i="9"/>
  <c r="A408" i="9"/>
  <c r="H407" i="9"/>
  <c r="A407" i="9"/>
  <c r="H406" i="9"/>
  <c r="A406" i="9"/>
  <c r="H405" i="9"/>
  <c r="A405" i="9"/>
  <c r="H404" i="9"/>
  <c r="A404" i="9"/>
  <c r="H403" i="9"/>
  <c r="A403" i="9"/>
  <c r="H402" i="9"/>
  <c r="A402" i="9"/>
  <c r="H401" i="9"/>
  <c r="A401" i="9"/>
  <c r="H400" i="9"/>
  <c r="A400" i="9"/>
  <c r="H399" i="9"/>
  <c r="A399" i="9"/>
  <c r="H398" i="9"/>
  <c r="A398" i="9"/>
  <c r="H397" i="9"/>
  <c r="A397" i="9"/>
  <c r="H396" i="9"/>
  <c r="A396" i="9"/>
  <c r="H395" i="9"/>
  <c r="A395" i="9"/>
  <c r="H394" i="9"/>
  <c r="A394" i="9"/>
  <c r="H393" i="9"/>
  <c r="A393" i="9"/>
  <c r="H392" i="9"/>
  <c r="A392" i="9"/>
  <c r="H391" i="9"/>
  <c r="A391" i="9"/>
  <c r="H390" i="9"/>
  <c r="A390" i="9"/>
  <c r="H389" i="9"/>
  <c r="A389" i="9"/>
  <c r="H388" i="9"/>
  <c r="A388" i="9"/>
  <c r="H387" i="9"/>
  <c r="A387" i="9"/>
  <c r="H386" i="9"/>
  <c r="A386" i="9"/>
  <c r="H385" i="9"/>
  <c r="A385" i="9"/>
  <c r="H384" i="9"/>
  <c r="A384" i="9"/>
  <c r="H383" i="9"/>
  <c r="A383" i="9"/>
  <c r="H382" i="9"/>
  <c r="A382" i="9"/>
  <c r="H381" i="9"/>
  <c r="A381" i="9"/>
  <c r="H380" i="9"/>
  <c r="A380" i="9"/>
  <c r="H379" i="9"/>
  <c r="A379" i="9"/>
  <c r="H378" i="9"/>
  <c r="A378" i="9"/>
  <c r="H377" i="9"/>
  <c r="A377" i="9"/>
  <c r="H376" i="9"/>
  <c r="A376" i="9"/>
  <c r="H375" i="9"/>
  <c r="A375" i="9"/>
  <c r="H374" i="9"/>
  <c r="A374" i="9"/>
  <c r="H373" i="9"/>
  <c r="A373" i="9"/>
  <c r="H372" i="9"/>
  <c r="A372" i="9"/>
  <c r="H371" i="9"/>
  <c r="A371" i="9"/>
  <c r="H370" i="9"/>
  <c r="A370" i="9"/>
  <c r="H369" i="9"/>
  <c r="A369" i="9"/>
  <c r="H368" i="9"/>
  <c r="A368" i="9"/>
  <c r="H367" i="9"/>
  <c r="A367" i="9"/>
  <c r="H366" i="9"/>
  <c r="A366" i="9"/>
  <c r="H365" i="9"/>
  <c r="A365" i="9"/>
  <c r="H364" i="9"/>
  <c r="A364" i="9"/>
  <c r="H363" i="9"/>
  <c r="A363" i="9"/>
  <c r="H362" i="9"/>
  <c r="A362" i="9"/>
  <c r="H361" i="9"/>
  <c r="A361" i="9"/>
  <c r="H360" i="9"/>
  <c r="A360" i="9"/>
  <c r="H359" i="9"/>
  <c r="A359" i="9"/>
  <c r="H358" i="9"/>
  <c r="A358" i="9"/>
  <c r="H357" i="9"/>
  <c r="A357" i="9"/>
  <c r="H356" i="9"/>
  <c r="A356" i="9"/>
  <c r="H355" i="9"/>
  <c r="A355" i="9"/>
  <c r="H354" i="9"/>
  <c r="A354" i="9"/>
  <c r="H353" i="9"/>
  <c r="A353" i="9"/>
  <c r="H352" i="9"/>
  <c r="A352" i="9"/>
  <c r="H351" i="9"/>
  <c r="A351" i="9"/>
  <c r="H350" i="9"/>
  <c r="A350" i="9"/>
  <c r="H349" i="9"/>
  <c r="A349" i="9"/>
  <c r="H348" i="9"/>
  <c r="A348" i="9"/>
  <c r="H347" i="9"/>
  <c r="A347" i="9"/>
  <c r="H346" i="9"/>
  <c r="A346" i="9"/>
  <c r="H345" i="9"/>
  <c r="A345" i="9"/>
  <c r="H344" i="9"/>
  <c r="A344" i="9"/>
  <c r="H343" i="9"/>
  <c r="A343" i="9"/>
  <c r="H342" i="9"/>
  <c r="A342" i="9"/>
  <c r="H341" i="9"/>
  <c r="A341" i="9"/>
  <c r="H340" i="9"/>
  <c r="A340" i="9"/>
  <c r="H339" i="9"/>
  <c r="A339" i="9"/>
  <c r="H338" i="9"/>
  <c r="A338" i="9"/>
  <c r="H337" i="9"/>
  <c r="A337" i="9"/>
  <c r="H336" i="9"/>
  <c r="A336" i="9"/>
  <c r="H335" i="9"/>
  <c r="A335" i="9"/>
  <c r="H334" i="9"/>
  <c r="A334" i="9"/>
  <c r="H333" i="9"/>
  <c r="A333" i="9"/>
  <c r="H332" i="9"/>
  <c r="A332" i="9"/>
  <c r="H331" i="9"/>
  <c r="A331" i="9"/>
  <c r="H330" i="9"/>
  <c r="A330" i="9"/>
  <c r="H329" i="9"/>
  <c r="A329" i="9"/>
  <c r="H328" i="9"/>
  <c r="A328" i="9"/>
  <c r="H327" i="9"/>
  <c r="A327" i="9"/>
  <c r="H326" i="9"/>
  <c r="A326" i="9"/>
  <c r="H325" i="9"/>
  <c r="A325" i="9"/>
  <c r="H324" i="9"/>
  <c r="A324" i="9"/>
  <c r="H323" i="9"/>
  <c r="A323" i="9"/>
  <c r="H322" i="9"/>
  <c r="A322" i="9"/>
  <c r="H321" i="9"/>
  <c r="A321" i="9"/>
  <c r="H320" i="9"/>
  <c r="A320" i="9"/>
  <c r="H319" i="9"/>
  <c r="A319" i="9"/>
  <c r="H318" i="9"/>
  <c r="A318" i="9"/>
  <c r="H317" i="9"/>
  <c r="A317" i="9"/>
  <c r="H316" i="9"/>
  <c r="A316" i="9"/>
  <c r="H315" i="9"/>
  <c r="A315" i="9"/>
  <c r="H314" i="9"/>
  <c r="A314" i="9"/>
  <c r="H313" i="9"/>
  <c r="A313" i="9"/>
  <c r="H312" i="9"/>
  <c r="A312" i="9"/>
  <c r="H311" i="9"/>
  <c r="A311" i="9"/>
  <c r="H310" i="9"/>
  <c r="A310" i="9"/>
  <c r="H309" i="9"/>
  <c r="A309" i="9"/>
  <c r="H308" i="9"/>
  <c r="A308" i="9"/>
  <c r="H307" i="9"/>
  <c r="A307" i="9"/>
  <c r="H306" i="9"/>
  <c r="A306" i="9"/>
  <c r="H305" i="9"/>
  <c r="A305" i="9"/>
  <c r="H304" i="9"/>
  <c r="A304" i="9"/>
  <c r="H303" i="9"/>
  <c r="A303" i="9"/>
  <c r="H302" i="9"/>
  <c r="A302" i="9"/>
  <c r="H301" i="9"/>
  <c r="A301" i="9"/>
  <c r="H300" i="9"/>
  <c r="A300" i="9"/>
  <c r="H299" i="9"/>
  <c r="A299" i="9"/>
  <c r="H298" i="9"/>
  <c r="A298" i="9"/>
  <c r="H297" i="9"/>
  <c r="A297" i="9"/>
  <c r="H296" i="9"/>
  <c r="A296" i="9"/>
  <c r="H295" i="9"/>
  <c r="A295" i="9"/>
  <c r="H294" i="9"/>
  <c r="A294" i="9"/>
  <c r="H293" i="9"/>
  <c r="A293" i="9"/>
  <c r="H292" i="9"/>
  <c r="A292" i="9"/>
  <c r="H291" i="9"/>
  <c r="A291" i="9"/>
  <c r="H290" i="9"/>
  <c r="A290" i="9"/>
  <c r="H289" i="9"/>
  <c r="A289" i="9"/>
  <c r="H288" i="9"/>
  <c r="A288" i="9"/>
  <c r="H287" i="9"/>
  <c r="A287" i="9"/>
  <c r="H286" i="9"/>
  <c r="A286" i="9"/>
  <c r="H285" i="9"/>
  <c r="A285" i="9"/>
  <c r="H284" i="9"/>
  <c r="A284" i="9"/>
  <c r="H283" i="9"/>
  <c r="A283" i="9"/>
  <c r="H282" i="9"/>
  <c r="A282" i="9"/>
  <c r="H281" i="9"/>
  <c r="A281" i="9"/>
  <c r="H280" i="9"/>
  <c r="A280" i="9"/>
  <c r="H279" i="9"/>
  <c r="A279" i="9"/>
  <c r="H278" i="9"/>
  <c r="A278" i="9"/>
  <c r="H277" i="9"/>
  <c r="A277" i="9"/>
  <c r="H276" i="9"/>
  <c r="A276" i="9"/>
  <c r="H275" i="9"/>
  <c r="A275" i="9"/>
  <c r="H274" i="9"/>
  <c r="A274" i="9"/>
  <c r="H273" i="9"/>
  <c r="A273" i="9"/>
  <c r="H272" i="9"/>
  <c r="A272" i="9"/>
  <c r="H271" i="9"/>
  <c r="A271" i="9"/>
  <c r="H270" i="9"/>
  <c r="A270" i="9"/>
  <c r="H269" i="9"/>
  <c r="A269" i="9"/>
  <c r="H268" i="9"/>
  <c r="A268" i="9"/>
  <c r="H267" i="9"/>
  <c r="A267" i="9"/>
  <c r="H266" i="9"/>
  <c r="A266" i="9"/>
  <c r="H265" i="9"/>
  <c r="A265" i="9"/>
  <c r="H264" i="9"/>
  <c r="A264" i="9"/>
  <c r="H263" i="9"/>
  <c r="A263" i="9"/>
  <c r="H262" i="9"/>
  <c r="A262" i="9"/>
  <c r="H261" i="9"/>
  <c r="A261" i="9"/>
  <c r="H260" i="9"/>
  <c r="A260" i="9"/>
  <c r="H259" i="9"/>
  <c r="A259" i="9"/>
  <c r="H258" i="9"/>
  <c r="A258" i="9"/>
  <c r="H257" i="9"/>
  <c r="A257" i="9"/>
  <c r="H256" i="9"/>
  <c r="A256" i="9"/>
  <c r="H255" i="9"/>
  <c r="A255" i="9"/>
  <c r="H254" i="9"/>
  <c r="A254" i="9"/>
  <c r="H253" i="9"/>
  <c r="A253" i="9"/>
  <c r="H252" i="9"/>
  <c r="A252" i="9"/>
  <c r="H251" i="9"/>
  <c r="A251" i="9"/>
  <c r="H250" i="9"/>
  <c r="A250" i="9"/>
  <c r="H249" i="9"/>
  <c r="A249" i="9"/>
  <c r="H248" i="9"/>
  <c r="A248" i="9"/>
  <c r="H247" i="9"/>
  <c r="A247" i="9"/>
  <c r="H246" i="9"/>
  <c r="A246" i="9"/>
  <c r="H245" i="9"/>
  <c r="A245" i="9"/>
  <c r="H244" i="9"/>
  <c r="A244" i="9"/>
  <c r="H243" i="9"/>
  <c r="A243" i="9"/>
  <c r="H242" i="9"/>
  <c r="A242" i="9"/>
  <c r="H241" i="9"/>
  <c r="A241" i="9"/>
  <c r="H240" i="9"/>
  <c r="A240" i="9"/>
  <c r="H239" i="9"/>
  <c r="A239" i="9"/>
  <c r="H238" i="9"/>
  <c r="A238" i="9"/>
  <c r="H237" i="9"/>
  <c r="A237" i="9"/>
  <c r="H236" i="9"/>
  <c r="A236" i="9"/>
  <c r="H235" i="9"/>
  <c r="A235" i="9"/>
  <c r="H234" i="9"/>
  <c r="A234" i="9"/>
  <c r="H233" i="9"/>
  <c r="A233" i="9"/>
  <c r="H232" i="9"/>
  <c r="A232" i="9"/>
  <c r="H231" i="9"/>
  <c r="A231" i="9"/>
  <c r="H230" i="9"/>
  <c r="A230" i="9"/>
  <c r="H229" i="9"/>
  <c r="A229" i="9"/>
  <c r="H228" i="9"/>
  <c r="A228" i="9"/>
  <c r="H227" i="9"/>
  <c r="A227" i="9"/>
  <c r="H226" i="9"/>
  <c r="A226" i="9"/>
  <c r="H225" i="9"/>
  <c r="A225" i="9"/>
  <c r="H224" i="9"/>
  <c r="A224" i="9"/>
  <c r="J223" i="9"/>
  <c r="H223" i="9"/>
  <c r="A223" i="9"/>
  <c r="J222" i="9"/>
  <c r="H222" i="9"/>
  <c r="A222" i="9"/>
  <c r="J221" i="9"/>
  <c r="H221" i="9"/>
  <c r="A221" i="9"/>
  <c r="H220" i="9"/>
  <c r="A220" i="9"/>
  <c r="H219" i="9"/>
  <c r="A219" i="9"/>
  <c r="H218" i="9"/>
  <c r="A218" i="9"/>
  <c r="H217" i="9"/>
  <c r="A217" i="9"/>
  <c r="H216" i="9"/>
  <c r="A216" i="9"/>
  <c r="H215" i="9"/>
  <c r="A215" i="9"/>
  <c r="J214" i="9"/>
  <c r="H214" i="9"/>
  <c r="A214" i="9"/>
  <c r="H213" i="9"/>
  <c r="A213" i="9"/>
  <c r="J212" i="9"/>
  <c r="H212" i="9"/>
  <c r="A212" i="9"/>
  <c r="J211" i="9"/>
  <c r="H211" i="9"/>
  <c r="A211" i="9"/>
  <c r="H210" i="9"/>
  <c r="A210" i="9"/>
  <c r="H209" i="9"/>
  <c r="A209" i="9"/>
  <c r="H208" i="9"/>
  <c r="A208" i="9"/>
  <c r="H207" i="9"/>
  <c r="A207" i="9"/>
  <c r="H206" i="9"/>
  <c r="A206" i="9"/>
  <c r="H205" i="9"/>
  <c r="A205" i="9"/>
  <c r="H204" i="9"/>
  <c r="A204" i="9"/>
  <c r="H203" i="9"/>
  <c r="A203" i="9"/>
  <c r="H202" i="9"/>
  <c r="A202" i="9"/>
  <c r="H201" i="9"/>
  <c r="A201" i="9"/>
  <c r="H200" i="9"/>
  <c r="A200" i="9"/>
  <c r="H199" i="9"/>
  <c r="A199" i="9"/>
  <c r="H198" i="9"/>
  <c r="A198" i="9"/>
  <c r="H197" i="9"/>
  <c r="A197" i="9"/>
  <c r="H196" i="9"/>
  <c r="A196" i="9"/>
  <c r="H195" i="9"/>
  <c r="A195" i="9"/>
  <c r="H194" i="9"/>
  <c r="A194" i="9"/>
  <c r="H193" i="9"/>
  <c r="A193" i="9"/>
  <c r="H192" i="9"/>
  <c r="A192" i="9"/>
  <c r="H191" i="9"/>
  <c r="A191" i="9"/>
  <c r="H190" i="9"/>
  <c r="A190" i="9"/>
  <c r="H189" i="9"/>
  <c r="A189" i="9"/>
  <c r="H188" i="9"/>
  <c r="A188" i="9"/>
  <c r="H187" i="9"/>
  <c r="A187" i="9"/>
  <c r="H186" i="9"/>
  <c r="A186" i="9"/>
  <c r="H185" i="9"/>
  <c r="A185" i="9"/>
  <c r="H184" i="9"/>
  <c r="A184" i="9"/>
  <c r="H183" i="9"/>
  <c r="A183" i="9"/>
  <c r="H182" i="9"/>
  <c r="A182" i="9"/>
  <c r="H181" i="9"/>
  <c r="A181" i="9"/>
  <c r="H180" i="9"/>
  <c r="A180" i="9"/>
  <c r="H179" i="9"/>
  <c r="A179" i="9"/>
  <c r="H178" i="9"/>
  <c r="A178" i="9"/>
  <c r="H177" i="9"/>
  <c r="A177" i="9"/>
  <c r="H176" i="9"/>
  <c r="A176" i="9"/>
  <c r="H175" i="9"/>
  <c r="A175" i="9"/>
  <c r="H174" i="9"/>
  <c r="A174" i="9"/>
  <c r="H173" i="9"/>
  <c r="A173" i="9"/>
  <c r="H172" i="9"/>
  <c r="A172" i="9"/>
  <c r="H171" i="9"/>
  <c r="A171" i="9"/>
  <c r="H170" i="9"/>
  <c r="A170" i="9"/>
  <c r="H169" i="9"/>
  <c r="A169" i="9"/>
  <c r="H168" i="9"/>
  <c r="A168" i="9"/>
  <c r="H167" i="9"/>
  <c r="A167" i="9"/>
  <c r="H166" i="9"/>
  <c r="A166" i="9"/>
  <c r="H165" i="9"/>
  <c r="A165" i="9"/>
  <c r="H164" i="9"/>
  <c r="A164" i="9"/>
  <c r="H163" i="9"/>
  <c r="A163" i="9"/>
  <c r="H162" i="9"/>
  <c r="A162" i="9"/>
  <c r="H161" i="9"/>
  <c r="A161" i="9"/>
  <c r="H160" i="9"/>
  <c r="A160" i="9"/>
  <c r="H159" i="9"/>
  <c r="A159" i="9"/>
  <c r="H158" i="9"/>
  <c r="A158" i="9"/>
  <c r="H157" i="9"/>
  <c r="A157" i="9"/>
  <c r="H156" i="9"/>
  <c r="A156" i="9"/>
  <c r="H155" i="9"/>
  <c r="A155" i="9"/>
  <c r="H154" i="9"/>
  <c r="A154" i="9"/>
  <c r="H153" i="9"/>
  <c r="A153" i="9"/>
  <c r="H152" i="9"/>
  <c r="A152" i="9"/>
  <c r="H151" i="9"/>
  <c r="A151" i="9"/>
  <c r="H150" i="9"/>
  <c r="A150" i="9"/>
  <c r="H149" i="9"/>
  <c r="A149" i="9"/>
  <c r="H148" i="9"/>
  <c r="A148" i="9"/>
  <c r="H147" i="9"/>
  <c r="A147" i="9"/>
  <c r="H146" i="9"/>
  <c r="A146" i="9"/>
  <c r="H145" i="9"/>
  <c r="A145" i="9"/>
  <c r="H144" i="9"/>
  <c r="A144" i="9"/>
  <c r="H143" i="9"/>
  <c r="A143" i="9"/>
  <c r="H142" i="9"/>
  <c r="A142" i="9"/>
  <c r="H141" i="9"/>
  <c r="A141" i="9"/>
  <c r="H140" i="9"/>
  <c r="A140" i="9"/>
  <c r="H139" i="9"/>
  <c r="A139" i="9"/>
  <c r="H138" i="9"/>
  <c r="A138" i="9"/>
  <c r="H137" i="9"/>
  <c r="A137" i="9"/>
  <c r="H136" i="9"/>
  <c r="A136" i="9"/>
  <c r="H135" i="9"/>
  <c r="A135" i="9"/>
  <c r="H134" i="9"/>
  <c r="A134" i="9"/>
  <c r="H133" i="9"/>
  <c r="A133" i="9"/>
  <c r="H132" i="9"/>
  <c r="A132" i="9"/>
  <c r="H131" i="9"/>
  <c r="A131" i="9"/>
  <c r="H130" i="9"/>
  <c r="A130" i="9"/>
  <c r="H129" i="9"/>
  <c r="A129" i="9"/>
  <c r="H128" i="9"/>
  <c r="A128" i="9"/>
  <c r="H127" i="9"/>
  <c r="A127" i="9"/>
  <c r="H126" i="9"/>
  <c r="A126" i="9"/>
  <c r="H125" i="9"/>
  <c r="A125" i="9"/>
  <c r="H124" i="9"/>
  <c r="A124" i="9"/>
  <c r="H123" i="9"/>
  <c r="A123" i="9"/>
  <c r="H122" i="9"/>
  <c r="A122" i="9"/>
  <c r="H121" i="9"/>
  <c r="A121" i="9"/>
  <c r="H120" i="9"/>
  <c r="A120" i="9"/>
  <c r="H119" i="9"/>
  <c r="A119" i="9"/>
  <c r="H118" i="9"/>
  <c r="A118" i="9"/>
  <c r="H117" i="9"/>
  <c r="A117" i="9"/>
  <c r="H116" i="9"/>
  <c r="A116" i="9"/>
  <c r="H115" i="9"/>
  <c r="A115" i="9"/>
  <c r="H114" i="9"/>
  <c r="A114" i="9"/>
  <c r="H113" i="9"/>
  <c r="A113" i="9"/>
  <c r="H112" i="9"/>
  <c r="A112" i="9"/>
  <c r="H111" i="9"/>
  <c r="A111" i="9"/>
  <c r="H110" i="9"/>
  <c r="A110" i="9"/>
  <c r="H109" i="9"/>
  <c r="A109" i="9"/>
  <c r="H108" i="9"/>
  <c r="A108" i="9"/>
  <c r="H107" i="9"/>
  <c r="A107" i="9"/>
  <c r="H106" i="9"/>
  <c r="A106" i="9"/>
  <c r="H105" i="9"/>
  <c r="A105" i="9"/>
  <c r="H104" i="9"/>
  <c r="A104" i="9"/>
  <c r="H103" i="9"/>
  <c r="A103" i="9"/>
  <c r="H102" i="9"/>
  <c r="A102" i="9"/>
  <c r="H101" i="9"/>
  <c r="A101" i="9"/>
  <c r="H100" i="9"/>
  <c r="A100" i="9"/>
  <c r="H99" i="9"/>
  <c r="A99" i="9"/>
  <c r="H98" i="9"/>
  <c r="A98" i="9"/>
  <c r="H97" i="9"/>
  <c r="A97" i="9"/>
  <c r="H96" i="9"/>
  <c r="A96" i="9"/>
  <c r="H95" i="9"/>
  <c r="A95" i="9"/>
  <c r="H94" i="9"/>
  <c r="A94" i="9"/>
  <c r="H93" i="9"/>
  <c r="A93" i="9"/>
  <c r="H92" i="9"/>
  <c r="A92" i="9"/>
  <c r="H91" i="9"/>
  <c r="A91" i="9"/>
  <c r="H90" i="9"/>
  <c r="A90" i="9"/>
  <c r="H89" i="9"/>
  <c r="A89" i="9"/>
  <c r="H88" i="9"/>
  <c r="A88" i="9"/>
  <c r="H87" i="9"/>
  <c r="A87" i="9"/>
  <c r="H86" i="9"/>
  <c r="A86" i="9"/>
  <c r="H85" i="9"/>
  <c r="A85" i="9"/>
  <c r="H84" i="9"/>
  <c r="A84" i="9"/>
  <c r="H83" i="9"/>
  <c r="A83" i="9"/>
  <c r="H82" i="9"/>
  <c r="A82" i="9"/>
  <c r="H81" i="9"/>
  <c r="A81" i="9"/>
  <c r="H80" i="9"/>
  <c r="A80" i="9"/>
  <c r="H79" i="9"/>
  <c r="A79" i="9"/>
  <c r="H78" i="9"/>
  <c r="A78" i="9"/>
  <c r="H77" i="9"/>
  <c r="A77" i="9"/>
  <c r="H76" i="9"/>
  <c r="A76" i="9"/>
  <c r="H75" i="9"/>
  <c r="A75" i="9"/>
  <c r="H74" i="9"/>
  <c r="A74" i="9"/>
  <c r="H73" i="9"/>
  <c r="A73" i="9"/>
  <c r="H72" i="9"/>
  <c r="A72" i="9"/>
  <c r="H71" i="9"/>
  <c r="A71" i="9"/>
  <c r="H70" i="9"/>
  <c r="A70" i="9"/>
  <c r="H69" i="9"/>
  <c r="A69" i="9"/>
  <c r="H68" i="9"/>
  <c r="A68" i="9"/>
  <c r="H67" i="9"/>
  <c r="A67" i="9"/>
  <c r="H66" i="9"/>
  <c r="A66" i="9"/>
  <c r="H65" i="9"/>
  <c r="A65" i="9"/>
  <c r="H64" i="9"/>
  <c r="A64" i="9"/>
  <c r="H63" i="9"/>
  <c r="A63" i="9"/>
  <c r="H62" i="9"/>
  <c r="A62" i="9"/>
  <c r="H61" i="9"/>
  <c r="A61" i="9"/>
  <c r="H60" i="9"/>
  <c r="A60" i="9"/>
  <c r="H59" i="9"/>
  <c r="A59" i="9"/>
  <c r="H58" i="9"/>
  <c r="A58" i="9"/>
  <c r="H57" i="9"/>
  <c r="A57" i="9"/>
  <c r="H56" i="9"/>
  <c r="A56" i="9"/>
  <c r="H55" i="9"/>
  <c r="A55" i="9"/>
  <c r="H54" i="9"/>
  <c r="A54" i="9"/>
  <c r="H53" i="9"/>
  <c r="A53" i="9"/>
  <c r="H52" i="9"/>
  <c r="A52" i="9"/>
  <c r="H51" i="9"/>
  <c r="A51" i="9"/>
  <c r="H50" i="9"/>
  <c r="A50" i="9"/>
  <c r="H49" i="9"/>
  <c r="A49" i="9"/>
  <c r="H48" i="9"/>
  <c r="A48" i="9"/>
  <c r="H47" i="9"/>
  <c r="A47" i="9"/>
  <c r="H46" i="9"/>
  <c r="A46" i="9"/>
  <c r="H45" i="9"/>
  <c r="A45" i="9"/>
  <c r="H44" i="9"/>
  <c r="A44" i="9"/>
  <c r="H43" i="9"/>
  <c r="A43" i="9"/>
  <c r="H42" i="9"/>
  <c r="A42" i="9"/>
  <c r="H41" i="9"/>
  <c r="A41" i="9"/>
  <c r="H40" i="9"/>
  <c r="A40" i="9"/>
  <c r="H39" i="9"/>
  <c r="A39" i="9"/>
  <c r="H38" i="9"/>
  <c r="A38" i="9"/>
  <c r="H37" i="9"/>
  <c r="A37" i="9"/>
  <c r="H36" i="9"/>
  <c r="A36" i="9"/>
  <c r="H35" i="9"/>
  <c r="A35" i="9"/>
  <c r="H34" i="9"/>
  <c r="A34" i="9"/>
  <c r="H33" i="9"/>
  <c r="A33" i="9"/>
  <c r="H32" i="9"/>
  <c r="A32" i="9"/>
  <c r="H31" i="9"/>
  <c r="A31" i="9"/>
  <c r="H30" i="9"/>
  <c r="A30" i="9"/>
  <c r="H29" i="9"/>
  <c r="A29" i="9"/>
  <c r="H28" i="9"/>
  <c r="A28" i="9"/>
  <c r="H27" i="9"/>
  <c r="A27" i="9"/>
  <c r="H26" i="9"/>
  <c r="A26" i="9"/>
  <c r="H25" i="9"/>
  <c r="A25" i="9"/>
  <c r="H24" i="9"/>
  <c r="A24" i="9"/>
  <c r="H23" i="9"/>
  <c r="A23" i="9"/>
  <c r="H22" i="9"/>
  <c r="A22" i="9"/>
  <c r="H21" i="9"/>
  <c r="A21" i="9"/>
  <c r="H20" i="9"/>
  <c r="A20" i="9"/>
  <c r="H19" i="9"/>
  <c r="A19" i="9"/>
  <c r="H18" i="9"/>
  <c r="A18" i="9"/>
  <c r="H17" i="9"/>
  <c r="A17" i="9"/>
  <c r="H16" i="9"/>
  <c r="A16" i="9"/>
  <c r="H15" i="9"/>
  <c r="A15" i="9"/>
  <c r="H14" i="9"/>
  <c r="A14" i="9"/>
  <c r="H13" i="9"/>
  <c r="A13" i="9"/>
  <c r="H12" i="9"/>
  <c r="A12" i="9"/>
  <c r="H11" i="9"/>
  <c r="A11" i="9"/>
  <c r="H10" i="9"/>
  <c r="A10" i="9"/>
  <c r="H9" i="9"/>
  <c r="A9" i="9"/>
  <c r="H8" i="9"/>
  <c r="A8" i="9"/>
  <c r="H7" i="9"/>
  <c r="A7" i="9"/>
  <c r="G5" i="9"/>
  <c r="F5" i="9"/>
  <c r="C4" i="9"/>
  <c r="D4" i="9" s="1"/>
  <c r="E4" i="9" s="1"/>
  <c r="F4" i="9" s="1"/>
  <c r="G4" i="9" s="1"/>
  <c r="H4" i="9" s="1"/>
  <c r="H5" i="9" l="1"/>
  <c r="F106" i="8" l="1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4" i="8"/>
  <c r="A5" i="7"/>
  <c r="A6" i="7" s="1"/>
  <c r="A7" i="7" s="1"/>
  <c r="K6" i="5" l="1"/>
  <c r="C5" i="5"/>
  <c r="D5" i="5" s="1"/>
  <c r="G5" i="5" s="1"/>
  <c r="H5" i="5" s="1"/>
  <c r="I5" i="5" s="1"/>
  <c r="J5" i="5" s="1"/>
  <c r="K5" i="5" s="1"/>
  <c r="BP4" i="1" l="1"/>
  <c r="BO4" i="1"/>
  <c r="BQ4" i="1"/>
  <c r="BR4" i="1"/>
  <c r="BS4" i="1"/>
  <c r="BT4" i="1"/>
  <c r="AC11" i="1" l="1"/>
  <c r="BK4" i="1" l="1"/>
  <c r="BE4" i="1"/>
  <c r="BC4" i="1"/>
  <c r="AY4" i="1"/>
  <c r="AW4" i="1"/>
  <c r="BM4" i="1"/>
  <c r="BL4" i="1"/>
  <c r="BJ4" i="1"/>
  <c r="BI4" i="1"/>
  <c r="BH4" i="1"/>
  <c r="BG4" i="1"/>
  <c r="BF4" i="1"/>
  <c r="BD4" i="1"/>
  <c r="BB4" i="1"/>
  <c r="BA4" i="1"/>
  <c r="AZ4" i="1"/>
  <c r="AX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C4" i="1" l="1"/>
  <c r="D4" i="1"/>
</calcChain>
</file>

<file path=xl/sharedStrings.xml><?xml version="1.0" encoding="utf-8"?>
<sst xmlns="http://schemas.openxmlformats.org/spreadsheetml/2006/main" count="4415" uniqueCount="1017">
  <si>
    <t>56026000300000025001</t>
  </si>
  <si>
    <t>56102000900000025001</t>
  </si>
  <si>
    <t>56102000900000025002</t>
  </si>
  <si>
    <t>56102000200000025003</t>
  </si>
  <si>
    <t>56102000600000025005</t>
  </si>
  <si>
    <t>56102000800000025006</t>
  </si>
  <si>
    <t>56102000000000025007</t>
  </si>
  <si>
    <t>56102000100000025008</t>
  </si>
  <si>
    <t>56106000900000025001</t>
  </si>
  <si>
    <t>56106000900000025002</t>
  </si>
  <si>
    <t>56106000200000025003</t>
  </si>
  <si>
    <t>56106000400000025004</t>
  </si>
  <si>
    <t>56114000400000025001</t>
  </si>
  <si>
    <t>56116000200000025001</t>
  </si>
  <si>
    <t>56195000000000025001</t>
  </si>
  <si>
    <t>56195000100000025002</t>
  </si>
  <si>
    <t>56195000700000025005</t>
  </si>
  <si>
    <t>56195000900000025006</t>
  </si>
  <si>
    <t>56206000300000025001</t>
  </si>
  <si>
    <t>56206000500000025002</t>
  </si>
  <si>
    <t>56206000700000025003</t>
  </si>
  <si>
    <t>56206000900000025004</t>
  </si>
  <si>
    <t>56210000100000025001</t>
  </si>
  <si>
    <t>56210000500000025003</t>
  </si>
  <si>
    <t>56214000000000025002</t>
  </si>
  <si>
    <t>56214000300000025004</t>
  </si>
  <si>
    <t>56218000400000025001</t>
  </si>
  <si>
    <t>56302000800000025001</t>
  </si>
  <si>
    <t>56302000000000025002</t>
  </si>
  <si>
    <t>56302000300000025004</t>
  </si>
  <si>
    <t>56306000800000025001</t>
  </si>
  <si>
    <t>56314000100000025001</t>
  </si>
  <si>
    <t>56406000200000025001</t>
  </si>
  <si>
    <t>56406000400000025002</t>
  </si>
  <si>
    <t>56406000600000025003</t>
  </si>
  <si>
    <t>56406000800000025004</t>
  </si>
  <si>
    <t>56406000000000025005</t>
  </si>
  <si>
    <t>56406000500000025008</t>
  </si>
  <si>
    <t>56410000900000025001</t>
  </si>
  <si>
    <t>56410000000000025007</t>
  </si>
  <si>
    <t>56410000400000025018</t>
  </si>
  <si>
    <t>56410000500000025019</t>
  </si>
  <si>
    <t>56410000700000025020</t>
  </si>
  <si>
    <t>56410000700000025021</t>
  </si>
  <si>
    <t>56410000700000025022</t>
  </si>
  <si>
    <t>56410000700000025028</t>
  </si>
  <si>
    <t>56414000500000025001</t>
  </si>
  <si>
    <t>56418000100000025001</t>
  </si>
  <si>
    <t>56602000100000025001</t>
  </si>
  <si>
    <t>56602000300000025002</t>
  </si>
  <si>
    <t>56602000500000025003</t>
  </si>
  <si>
    <t>56602000700000025004</t>
  </si>
  <si>
    <t>56614000200000025001</t>
  </si>
  <si>
    <t>56614000400000025002</t>
  </si>
  <si>
    <t>56614000600000025003</t>
  </si>
  <si>
    <t>56614000100000025006</t>
  </si>
  <si>
    <t>56614000300000025007</t>
  </si>
  <si>
    <t>56614000500000025008</t>
  </si>
  <si>
    <t>56614000700000025009</t>
  </si>
  <si>
    <t>56614000900000025010</t>
  </si>
  <si>
    <t>56614000600000025100</t>
  </si>
  <si>
    <t>56795000800000025001</t>
  </si>
  <si>
    <t>56795000000000025002</t>
  </si>
  <si>
    <t>45294000000000025001</t>
  </si>
  <si>
    <t>45294000100000025002</t>
  </si>
  <si>
    <t>45294000300000025003</t>
  </si>
  <si>
    <t>45994000200000025002</t>
  </si>
  <si>
    <t>45994000000000025006</t>
  </si>
  <si>
    <t>45994000300000025008</t>
  </si>
  <si>
    <t>№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</si>
  <si>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</si>
  <si>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</si>
  <si>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</si>
  <si>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</si>
  <si>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</si>
  <si>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</si>
  <si>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</si>
  <si>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</si>
  <si>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Noyabr</t>
  </si>
  <si>
    <t>Dekabr</t>
  </si>
  <si>
    <t>Jami</t>
  </si>
  <si>
    <t>Markaziy bank Toshkent viloyati bosh boshqarmasi tomonidan 2025-yil davomida tuzilgan xoʻjalik shartnomalari toʻgʻrisida maʼlumot</t>
  </si>
  <si>
    <t>Savdo turi</t>
  </si>
  <si>
    <t>Shartnoma sanasi</t>
  </si>
  <si>
    <t>Mahsulot (ish, xizmat) yetkazib beruvchi nomi</t>
  </si>
  <si>
    <t>STIRi</t>
  </si>
  <si>
    <t>Shartnoma raqami</t>
  </si>
  <si>
    <t>Mahsulot (ish, xizmat) nomi</t>
  </si>
  <si>
    <t>Mahsulot (ish, xizmat) soni</t>
  </si>
  <si>
    <t>Oʻlchov birligi</t>
  </si>
  <si>
    <t>Shartnoma summasi</t>
  </si>
  <si>
    <t>Izoh</t>
  </si>
  <si>
    <t>A</t>
  </si>
  <si>
    <t>Toʻgʻridan-toʻgʻri</t>
  </si>
  <si>
    <t>UNICON-SOFT MCHJ</t>
  </si>
  <si>
    <t>4301-2025/IJRO</t>
  </si>
  <si>
    <t>“Ijro.gov.uz” ijro intizomi idoralararo yagona elektron tizimi uchun oylik abonent toʻlovi</t>
  </si>
  <si>
    <t>xizmat</t>
  </si>
  <si>
    <t>Milliy doʻkon</t>
  </si>
  <si>
    <t>"SHINING FUTURE" MCHJ</t>
  </si>
  <si>
    <t>Polietilen qop</t>
  </si>
  <si>
    <t>dona</t>
  </si>
  <si>
    <t>Oʻzbekiston pochtasi AJ</t>
  </si>
  <si>
    <t>Pochta markasi</t>
  </si>
  <si>
    <t>Oʻzbekiston Respublikasi Adliya vazirligi qoshidagi yuristlar malakasini oshirish markazi</t>
  </si>
  <si>
    <t>0852/25</t>
  </si>
  <si>
    <t>Yurist malakasini oshirish uchun oʻqishga</t>
  </si>
  <si>
    <t>"POYTAXT COMFORT OIL" MCHJ</t>
  </si>
  <si>
    <t>RSO-27</t>
  </si>
  <si>
    <t>Dizel yoqilgʻisi uchun</t>
  </si>
  <si>
    <t>l</t>
  </si>
  <si>
    <t>Xududiy elektr tarmoklari AJ</t>
  </si>
  <si>
    <t>Elektr energiyasi shartnomasi</t>
  </si>
  <si>
    <t>kVt.s</t>
  </si>
  <si>
    <t>"MEROS PHARM" MCHJ</t>
  </si>
  <si>
    <t>Bosh boshqarma xodimlari uchun dori-darmon</t>
  </si>
  <si>
    <t>Elektron doʻkon</t>
  </si>
  <si>
    <t>FOROFFISE MCHJ</t>
  </si>
  <si>
    <t>Shtamp</t>
  </si>
  <si>
    <t>ASIA ONLINE XK</t>
  </si>
  <si>
    <t>Pul sanash mashinkalariga texnik xizmat koʻrsatish</t>
  </si>
  <si>
    <t>YTT MUXIDDINOV BEHZOD SHUXRATOVICH</t>
  </si>
  <si>
    <t>Interaktiv panel uchun</t>
  </si>
  <si>
    <t>Oʻzbekiston Respublikasi Fuqaro muhofazasi instituti</t>
  </si>
  <si>
    <t>271/m25</t>
  </si>
  <si>
    <t>Fuqaro muhofazasi boʻyicha xodim malakasini oshirish uchun oʻqishga</t>
  </si>
  <si>
    <t>"TOSHKENT SHAHAR XOʻJALIK HISOBIDAGI DEZINFEKSIYA STANSIYASI" DAVLAT MUASSASASI</t>
  </si>
  <si>
    <t>Dizenfeksiya xizmat uchun shartnoma</t>
  </si>
  <si>
    <t>ZZ WATER-BOTTLERS MCHJ</t>
  </si>
  <si>
    <t>Kapsulada ichimlik suvi uchun</t>
  </si>
  <si>
    <t>TEXNO BRS XK</t>
  </si>
  <si>
    <t>Qoʻlqop uchun</t>
  </si>
  <si>
    <t>juft</t>
  </si>
  <si>
    <t>YTT BEGIMKULOV SARDOR NORMURODOVICH</t>
  </si>
  <si>
    <t>Havoga hid bergich (Osvejitel vozduxa)</t>
  </si>
  <si>
    <t>KANS SHOP MCHJ</t>
  </si>
  <si>
    <t>Qalamlar</t>
  </si>
  <si>
    <t>Shtamp yostiqchasi</t>
  </si>
  <si>
    <t>"INTERNATIONAL PAPER" MCHJ</t>
  </si>
  <si>
    <t>Qogʻoz sochiq</t>
  </si>
  <si>
    <t>pachka</t>
  </si>
  <si>
    <t>RSO-68</t>
  </si>
  <si>
    <t>YTT USMONOV TOIRJON ZOKIROVICH</t>
  </si>
  <si>
    <t>Kir yuvish kukuni</t>
  </si>
  <si>
    <t>kg</t>
  </si>
  <si>
    <t>"PREMIUM POLIGRAF BIZNES" MCHJ</t>
  </si>
  <si>
    <t>Banderol</t>
  </si>
  <si>
    <t>Oʻzbekiston milliy metrologiya instituti davlat korxonasi</t>
  </si>
  <si>
    <t>25-001-213070</t>
  </si>
  <si>
    <t>Metrologiya xizmati</t>
  </si>
  <si>
    <t>"HOTEL ELBA" MCHJ</t>
  </si>
  <si>
    <t>Mehmonxona xizmati</t>
  </si>
  <si>
    <t>YTT TUYMAYEVA MANZURA OCHILOVNA</t>
  </si>
  <si>
    <t>Xona havosini namlantirgich</t>
  </si>
  <si>
    <t>RSO-93</t>
  </si>
  <si>
    <t>"OʻZBEKISTON METALLURGIYA KOMBINATI" AJ KASABA UYUSHMASI</t>
  </si>
  <si>
    <t>77/06-36-32</t>
  </si>
  <si>
    <t>YTT MADJIDOV ABDUXAMID ALISHEROVICH</t>
  </si>
  <si>
    <t>MR60-M rusumli dizel generatorining zaxira tarmogʻini avtomatik yoqish tizimini taʼmirlash</t>
  </si>
  <si>
    <t>"POWERTECH" MCHJ</t>
  </si>
  <si>
    <t>Dizel generatorini taʼmirlash</t>
  </si>
  <si>
    <t>RSO-134</t>
  </si>
  <si>
    <t>GLOBAL TASH PROGRESS MCHJ</t>
  </si>
  <si>
    <t>Gaz hisoblagichni taʼmirlash ishlari</t>
  </si>
  <si>
    <t>YTT SAYITQULOV DILSHOD MUXIDDIN OʻGʻLI</t>
  </si>
  <si>
    <t>Firma blankasi uchun</t>
  </si>
  <si>
    <t>Auksion</t>
  </si>
  <si>
    <t>IBROHIM ELIT BIZNES MCHJ</t>
  </si>
  <si>
    <t>papka</t>
  </si>
  <si>
    <t>Chizgʻich (lineyka)</t>
  </si>
  <si>
    <t>Tikmajild (skorosshivatel)</t>
  </si>
  <si>
    <t>Konvert</t>
  </si>
  <si>
    <t>ZAFAROBODLIK BRO MCHJ</t>
  </si>
  <si>
    <t>Dozator (suyuq sovun uchun)</t>
  </si>
  <si>
    <t>YTT ISHPULATOV SHUHRAT ZAFAROVICH</t>
  </si>
  <si>
    <t>Plombirator</t>
  </si>
  <si>
    <t>komp.</t>
  </si>
  <si>
    <t>MONTECH MCHJ</t>
  </si>
  <si>
    <t>Pol yuvish mikrofibra matosi</t>
  </si>
  <si>
    <t>YTT USMONOV ILXOMJON KOZIMJONOVICH</t>
  </si>
  <si>
    <t>Plastmassa chelak</t>
  </si>
  <si>
    <t>Marmar yuvish choʻtkasi</t>
  </si>
  <si>
    <t>Hojatxona qogʻozi</t>
  </si>
  <si>
    <t>oʻram</t>
  </si>
  <si>
    <t>QUVONCH OMAD GROUP MCHJ</t>
  </si>
  <si>
    <t>Chistol “Barf”</t>
  </si>
  <si>
    <t>KUMUSHSUV ARTEZIAN MCHJ</t>
  </si>
  <si>
    <t>DESKFORM MCHJ</t>
  </si>
  <si>
    <t>A4 qogʻoz</t>
  </si>
  <si>
    <t>Is olish choʻtkasi</t>
  </si>
  <si>
    <t>“Azilit” kafil yuvish vositasi</t>
  </si>
  <si>
    <t>"AFSONA INVEST" MCHJ</t>
  </si>
  <si>
    <t>Gaz sarfini "Hududgaztaʼminoti"ga uzatish xizmati uchun</t>
  </si>
  <si>
    <t>POWER MAX GROUP MCHJ</t>
  </si>
  <si>
    <t>Ruchka gelli</t>
  </si>
  <si>
    <t>YTT RAXIMOVA MAFTUNA JAMSHID QIZI</t>
  </si>
  <si>
    <t>Ish jurnali</t>
  </si>
  <si>
    <t>NEW PRICE OK</t>
  </si>
  <si>
    <t>Stepler uchun skoba</t>
  </si>
  <si>
    <t>BROKER 111 MCHJ</t>
  </si>
  <si>
    <t>Batareya AA</t>
  </si>
  <si>
    <t>ORZU TOVAR MCHJ</t>
  </si>
  <si>
    <t>Xoʻjalik sovuni</t>
  </si>
  <si>
    <t>TURK SHANAY BIZNES XK</t>
  </si>
  <si>
    <t>Suyuq sovun</t>
  </si>
  <si>
    <t>KURROS MCHJ</t>
  </si>
  <si>
    <t>Batareya AAA</t>
  </si>
  <si>
    <t>A3 qogʻoz</t>
  </si>
  <si>
    <t>Qisqich (skrepka)</t>
  </si>
  <si>
    <t>Oʻzekiston Respublikasi Huquqni muhofaza qilish akademiyasi (Bosh prokuratura huzurida)</t>
  </si>
  <si>
    <t>Xodimlarni korrupsiyaga qarshi oʻqitish (sertifikat olish)</t>
  </si>
  <si>
    <t>odam</t>
  </si>
  <si>
    <t>FOROFFICE MChJ</t>
  </si>
  <si>
    <t>Laminat va parket yuvish vositasi</t>
  </si>
  <si>
    <t>"ARMFUL GROSS" MCHJ</t>
  </si>
  <si>
    <t>Qozonxonani qish mavsumiga tayyorlash boʻyicha xizmat</t>
  </si>
  <si>
    <t>"COMPLEX PRINT" MCHJ</t>
  </si>
  <si>
    <t>Ekocharmli papka (rahbariyat uchun)</t>
  </si>
  <si>
    <t>"Lider prof proekt" MCHJ</t>
  </si>
  <si>
    <t>26/11-25</t>
  </si>
  <si>
    <t>Loyiha-smeta hujjatlarini ishlab chiqish</t>
  </si>
  <si>
    <t>"Netex Corp" MCHJ</t>
  </si>
  <si>
    <t>Bosh boshqarmaga chegaradosh hududlarni obodonlashtirish (qurilish-montaj) ishlari</t>
  </si>
  <si>
    <t>"Build commerce" MCHJ</t>
  </si>
  <si>
    <t>Bosh boshqarma maʼmuriy binosi fasad qismini yoritish chiroqlari bilan bezash</t>
  </si>
  <si>
    <t>dona, metr, kg, bal</t>
  </si>
  <si>
    <t>Blanka 109-, 110- va 111-shakl</t>
  </si>
  <si>
    <t>YANGIYER BREND MCHJ</t>
  </si>
  <si>
    <t>Surguch</t>
  </si>
  <si>
    <t>Plomba</t>
  </si>
  <si>
    <t>AMALGAMA XK</t>
  </si>
  <si>
    <t>YUSUPBOY NURMAMAT XK</t>
  </si>
  <si>
    <t>Nimcha</t>
  </si>
  <si>
    <t>"XALQ RIVOJI MEDIA" MCHJ</t>
  </si>
  <si>
    <t>2026/123</t>
  </si>
  <si>
    <t>2026-yil uchun obuna</t>
  </si>
  <si>
    <t>THE ECO EXPERTS MCHJ</t>
  </si>
  <si>
    <t>Oshxona jihozlarining texnik holati haqida xulosa olish</t>
  </si>
  <si>
    <t>RSO-158</t>
  </si>
  <si>
    <t>"EMAN" MCHJ</t>
  </si>
  <si>
    <t>8229m</t>
  </si>
  <si>
    <t>Ekocharmli kreslo</t>
  </si>
  <si>
    <t>IT WORKS MCHJ</t>
  </si>
  <si>
    <t>"ZOOM" litsenziyasi uchun</t>
  </si>
  <si>
    <t>TEX SISTEMA SERVIS MCHJ</t>
  </si>
  <si>
    <t>Pul sanash mashinkalari</t>
  </si>
  <si>
    <t>Vakuumli qadoqlash uskunasi (multivak)</t>
  </si>
  <si>
    <t>OPENPATH MCHJ</t>
  </si>
  <si>
    <t>Arxiv uchun skaner</t>
  </si>
  <si>
    <t>Ish haqi</t>
  </si>
  <si>
    <t>Kommunal</t>
  </si>
  <si>
    <t>Maʼmuriy xarajatlar</t>
  </si>
  <si>
    <t>Qoʻriqlash</t>
  </si>
  <si>
    <t>Xizmat safari</t>
  </si>
  <si>
    <t>Avtomobil xizmati</t>
  </si>
  <si>
    <t>Aloqa</t>
  </si>
  <si>
    <t>Marka</t>
  </si>
  <si>
    <t>Obuna</t>
  </si>
  <si>
    <t>Eskirish</t>
  </si>
  <si>
    <t>Boshqa xarajatlar</t>
  </si>
  <si>
    <t>Banknotalarni tashish xarajatlari</t>
  </si>
  <si>
    <t>Hisoblangan ish haqi</t>
  </si>
  <si>
    <t>Ustama ish haqi</t>
  </si>
  <si>
    <t>Koʻp yillik ish staji uchun xarajatlari</t>
  </si>
  <si>
    <t>Mehnat taʼtili</t>
  </si>
  <si>
    <t>Oʻquv taʼtili</t>
  </si>
  <si>
    <t>Foydalanilmagan mehnat taʼtili uchun toʻlanadigan badal</t>
  </si>
  <si>
    <t>Mehnat taʼtiliga qoʻshimcha toʻlov</t>
  </si>
  <si>
    <t>Bank xizmatchilari uchun</t>
  </si>
  <si>
    <t>Bayram mukofoti</t>
  </si>
  <si>
    <t>Yubiley sanalari munosabati bilan mukofot</t>
  </si>
  <si>
    <t>Pensiyaga kuzatish munosabati bilan mukofot</t>
  </si>
  <si>
    <t>Ijtimoiy soliq 12%</t>
  </si>
  <si>
    <t>Xodimlarni oʻqitish va qayta tayerlash xarajatlari</t>
  </si>
  <si>
    <t>Vaqtincha mehnatga layoqatsizlik nafaqasi</t>
  </si>
  <si>
    <t>Onalarga bolani ikki yoshga toʻlguncha parvarishlash uchun nafaqa</t>
  </si>
  <si>
    <t>Dafn marosimini oʻtkazish uchun moddiy yordam</t>
  </si>
  <si>
    <t>Qishloq xoʻjaligi mahsulotlarini sotib olish uchun moddiy yordam</t>
  </si>
  <si>
    <t>Ichimlik suv uchun xarajatlar</t>
  </si>
  <si>
    <t>Oqava suv uchun (kanalizatsiya) xarajatlar</t>
  </si>
  <si>
    <t>Chiqindilarni olib ketish uchun xarajatlar</t>
  </si>
  <si>
    <t>Dezinfeksiya xarajatlari</t>
  </si>
  <si>
    <t>Tabiiy gaz uchun xarajatlari</t>
  </si>
  <si>
    <t>Elektr energiya xarajatlari</t>
  </si>
  <si>
    <t>Asosiy vositalarga davriy tex. xizmat koʻrsatish xarajatlari</t>
  </si>
  <si>
    <t>Asosiy vositalar, jihoz va uskunalarni joriy taʼmirlash xarajatlari</t>
  </si>
  <si>
    <t>Bank binosini qoʻriqlash xarajatlari</t>
  </si>
  <si>
    <t>Transport xarajatlari (Aviabilet)</t>
  </si>
  <si>
    <t>Mehmonxona xarajatlari</t>
  </si>
  <si>
    <t>Transport xarajatlari (passtrans)</t>
  </si>
  <si>
    <t>Kunlik xarajatlari soʻmda</t>
  </si>
  <si>
    <t>Devonxona buyumlari xarajatlari</t>
  </si>
  <si>
    <t>Xoʻjalik mollari uchun qilingan xarajatlari</t>
  </si>
  <si>
    <t>Banderol, shpagat, plomba, nakladka, polietil. paket</t>
  </si>
  <si>
    <t>KYUTEB kompyuterga va hisob tex. xarajati</t>
  </si>
  <si>
    <t>Blanklar, broshyura va boshqalar uchun qilingan xarajatlari</t>
  </si>
  <si>
    <t>Dori-darmonlar sotib olish xarajatlari</t>
  </si>
  <si>
    <t>Telefon soʻzlashuv xarajatlari</t>
  </si>
  <si>
    <t>Telefon (Perfektum mobil)</t>
  </si>
  <si>
    <t>E-ijro xizmati xarajatlari</t>
  </si>
  <si>
    <t>Hukumat aloqasi xizmati</t>
  </si>
  <si>
    <t>Maxsus aloqa 1-boʻlim</t>
  </si>
  <si>
    <t>Pochta xarajatlari</t>
  </si>
  <si>
    <t>IP televideniye xarajatlari</t>
  </si>
  <si>
    <t>Internet aloqa xizmati uchun</t>
  </si>
  <si>
    <t>Hujjat markalari uchun xarajatlar</t>
  </si>
  <si>
    <t>Kitob, jurnal va davriy nashrlar boʻyicha xarajatlar</t>
  </si>
  <si>
    <t>Bino va boshqa imoratlarni eskirish xarajatlari</t>
  </si>
  <si>
    <t>Qozonxonaning yigʻilgan eskirish xarajatlari</t>
  </si>
  <si>
    <t>1-KPPning yigʻilgan eskirish xarajatlari</t>
  </si>
  <si>
    <t>2-KPPning yigʻilgan eskirish xarajatlari</t>
  </si>
  <si>
    <t>Asosiy vositalarning eskirish xarajatlari</t>
  </si>
  <si>
    <t>Kompyuter texnikalarining eskirish xarajatlari</t>
  </si>
  <si>
    <t>Mebel jihozlarining eskirish xarajatlari</t>
  </si>
  <si>
    <t>M.M.Xashimov javobgarligidagi moslama va jihozlar eskirish xararajatlari</t>
  </si>
  <si>
    <t>X.D.Sharipov javobgarligidagi moslama va jihozlar (qurilish) eskirish xarajatlari</t>
  </si>
  <si>
    <t>Aloqa vositalari J.Gapurov javobgarligidagi a/v eskirish xarajatlari</t>
  </si>
  <si>
    <t>Yongʻin xavfsizligi moslamalar A.Abdullayev javobgarligidagi a/v eskirish xarajatlari</t>
  </si>
  <si>
    <t>R.R.Maripov javobgarligidagi tashvish xabari moslamalari eskirish xarajat</t>
  </si>
  <si>
    <t>Axborot texnologiyalari uskunalarining eskirish summasi</t>
  </si>
  <si>
    <t>Korporativ elektron savdolarda ishtirok etishda qilingan xarajat (Birja va broker x-ti)</t>
  </si>
  <si>
    <t>Debet aylanmadan olingan daromad</t>
  </si>
  <si>
    <t>Boshqa koʻrsatilgan xizmatlar</t>
  </si>
  <si>
    <t>Bankomat daromadi</t>
  </si>
  <si>
    <t>Chek daftarchasi uchun toʻlov</t>
  </si>
  <si>
    <t>Boshqa foizsiz daromadlar (kassa ortiqcha pullar)</t>
  </si>
  <si>
    <t>Boshqa foizsiz daromadlar</t>
  </si>
  <si>
    <t>Oktabr</t>
  </si>
  <si>
    <t>Sentabr</t>
  </si>
  <si>
    <t>06.01.2024-05.01.2025</t>
  </si>
  <si>
    <t>11.06.2024-10.06.2025</t>
  </si>
  <si>
    <t>03.06.2024-02.06.2025</t>
  </si>
  <si>
    <t>02.06.2024-01.06.2025</t>
  </si>
  <si>
    <t>04.03.2024-03.03.2025</t>
  </si>
  <si>
    <t>05.07.2024-04.07.2025</t>
  </si>
  <si>
    <t>29.09.2024-28.09.2025</t>
  </si>
  <si>
    <t>04.04.2024-03.04.2025</t>
  </si>
  <si>
    <t>03.04.2024-02.04.2025</t>
  </si>
  <si>
    <t>18.04.2024-17.04.2025</t>
  </si>
  <si>
    <t>28.08.2024-27.08.2025</t>
  </si>
  <si>
    <t>06.09.2024-05.09.2025</t>
  </si>
  <si>
    <t>20.01.2024-19.01.2025</t>
  </si>
  <si>
    <t>20.02.2024-19.02.2025</t>
  </si>
  <si>
    <t>24.12.2024-23.12.2025</t>
  </si>
  <si>
    <t>02.04.2024-01.04.2025</t>
  </si>
  <si>
    <t>01.05.2024-30.04.2025</t>
  </si>
  <si>
    <t>04.01.2024-03.01.2025</t>
  </si>
  <si>
    <t>02.02.2025-01.02.2026</t>
  </si>
  <si>
    <t>12.06.2024-11.06.2025</t>
  </si>
  <si>
    <t>18.06.2024-17.06.2025</t>
  </si>
  <si>
    <t>08.06.2024-07.06.2025</t>
  </si>
  <si>
    <t>04.10.2024-03.10.2025</t>
  </si>
  <si>
    <t>23.04.2024-22.04.2025</t>
  </si>
  <si>
    <t>28.10.2024-27.10.2025</t>
  </si>
  <si>
    <t>13.06.2024-12.06.2025</t>
  </si>
  <si>
    <t>02.08.2024-01.08.2025</t>
  </si>
  <si>
    <t>29.11.2024-28.11.2025</t>
  </si>
  <si>
    <t>18.01.2025-17.01.2026</t>
  </si>
  <si>
    <t>07.09.2024-06.09.2025</t>
  </si>
  <si>
    <t>14.12.2024-13.12.2025</t>
  </si>
  <si>
    <t>10.07.2024-09.07.2025</t>
  </si>
  <si>
    <t>13.05.2024-12.05.2025</t>
  </si>
  <si>
    <t>26.04.2024-25.04.2025</t>
  </si>
  <si>
    <t>10.11.2024-09.11.2025</t>
  </si>
  <si>
    <t>08.10.2024-07.10.2025</t>
  </si>
  <si>
    <t>02.10.2024-01.10.2025</t>
  </si>
  <si>
    <t>09.09.2024-08.09.2025</t>
  </si>
  <si>
    <t>02.07.2024-01.07.2025</t>
  </si>
  <si>
    <t>24.05.2024-23.05.2025</t>
  </si>
  <si>
    <t>01.08.2024-31.07.2025</t>
  </si>
  <si>
    <t>04.12.2024-03.12.2025</t>
  </si>
  <si>
    <t>05.04.2024-04.04.2025</t>
  </si>
  <si>
    <t>03.11.2024-02.11.2025</t>
  </si>
  <si>
    <t>24.09.2024-23.09.2025</t>
  </si>
  <si>
    <t>19.01.2025-18.01.2026</t>
  </si>
  <si>
    <t>14.07.2024-13.07.2025</t>
  </si>
  <si>
    <t>24.09.2023-23.09.2024</t>
  </si>
  <si>
    <t>18.07.2024-17.07.2025</t>
  </si>
  <si>
    <t>10.08.2024-09.08.2025</t>
  </si>
  <si>
    <t>17.01.2025-16.01.2026</t>
  </si>
  <si>
    <t>24.04.2024-23.04.2025</t>
  </si>
  <si>
    <t>09.02.2025-08.02.2026</t>
  </si>
  <si>
    <t>12.09.2024-11.09.2025</t>
  </si>
  <si>
    <t>17.05.2024-16.05.2025</t>
  </si>
  <si>
    <t>10.05.2024-09.05.2025</t>
  </si>
  <si>
    <t>07.07.2024-06.07.2025</t>
  </si>
  <si>
    <t>24.07.2024-23.07.2025</t>
  </si>
  <si>
    <t>25.11.2024-24.11.2025</t>
  </si>
  <si>
    <t>17.09.2024-16.09.2025</t>
  </si>
  <si>
    <t>27.07.2024-26.07.2025</t>
  </si>
  <si>
    <t>26.07.2024-25.07.2025</t>
  </si>
  <si>
    <t>01.06.2024-31.05.2025</t>
  </si>
  <si>
    <t>26.06.2024-25.06.2025</t>
  </si>
  <si>
    <t>24.11.2024-23.11.2025</t>
  </si>
  <si>
    <t>20.07.2024-19.07.2025</t>
  </si>
  <si>
    <t>07.10.2024-06.10.2025</t>
  </si>
  <si>
    <t>15.08.2024-14.08.2025</t>
  </si>
  <si>
    <t>24.08.2024-23.08.2025</t>
  </si>
  <si>
    <t>16.05.2024-15.05.2025</t>
  </si>
  <si>
    <t>22.01.2025-21.01.2026</t>
  </si>
  <si>
    <t>22.01.2024-21.01.2025</t>
  </si>
  <si>
    <t>17.07.2024-16.07.2025</t>
  </si>
  <si>
    <t>15.07.2024-14.07.2025</t>
  </si>
  <si>
    <t>27.03.2024-26.03.2025</t>
  </si>
  <si>
    <t>02.03.2024-01.03.2025</t>
  </si>
  <si>
    <t>06.03.2025-05.03.2026</t>
  </si>
  <si>
    <t>14.02.2025-13.02.2026</t>
  </si>
  <si>
    <t>21.07.2024-20.07.2025</t>
  </si>
  <si>
    <t>23.02.2025-22.02.2026</t>
  </si>
  <si>
    <t>14.01.2025-13.01.2026</t>
  </si>
  <si>
    <t>09.10.2024-08.10.2025</t>
  </si>
  <si>
    <t>29.04.2024-28.04.2025</t>
  </si>
  <si>
    <t>02.03.2025-01.03.2026</t>
  </si>
  <si>
    <t>16.12.2024-15.12.2025</t>
  </si>
  <si>
    <t>18.08.2024-17.08.2025</t>
  </si>
  <si>
    <t>12.12.2024-11.12.2025</t>
  </si>
  <si>
    <t>01.02.2025-31.01.2026</t>
  </si>
  <si>
    <t>30.03.2025-29.03.2026</t>
  </si>
  <si>
    <t>11.04.2024-10.04.2025</t>
  </si>
  <si>
    <t>30.12.2024-29.12.2025</t>
  </si>
  <si>
    <t>03.02.2025-02.02.2026</t>
  </si>
  <si>
    <t>03.12.2024-02.12.2025</t>
  </si>
  <si>
    <t>26.04.2025-25.04.2026</t>
  </si>
  <si>
    <t>04.09.2024-03.09.2025</t>
  </si>
  <si>
    <t>26.06.2025-25.06.2026</t>
  </si>
  <si>
    <t>27.12.2024-26.12.2025</t>
  </si>
  <si>
    <t>25.01.2025-24.01.2026</t>
  </si>
  <si>
    <t>07.04.2025-06.04.2026</t>
  </si>
  <si>
    <t>21.02.2025-20.02.2026</t>
  </si>
  <si>
    <t>Markaziy bank Toshkent viloyati bosh boshqarmasi xodimlarining 2025-yil davomida taʼtilga chiqqanligi toʻgʻrisida maʼlumot</t>
  </si>
  <si>
    <t>F.I.O</t>
  </si>
  <si>
    <t>Tarkibiy boʻlinma nomi</t>
  </si>
  <si>
    <t>Taʼtilga chiqish haqidagi buyruq</t>
  </si>
  <si>
    <t>Taʼtil turi</t>
  </si>
  <si>
    <t>Taʼtil muddati</t>
  </si>
  <si>
    <t>Taʼtil davriyligi</t>
  </si>
  <si>
    <t>sanasi</t>
  </si>
  <si>
    <t>raqami</t>
  </si>
  <si>
    <t>Zaxidova Shaxlo Xusanovna</t>
  </si>
  <si>
    <t>Hisob-kitob kassa markazi</t>
  </si>
  <si>
    <t>oʻquv</t>
  </si>
  <si>
    <t>Gapurov Jasur Taxirovich</t>
  </si>
  <si>
    <t>Maʼmuriy xizmat</t>
  </si>
  <si>
    <t>Abdullayeva Gulchexra Abrordjanovna</t>
  </si>
  <si>
    <t>mehnat</t>
  </si>
  <si>
    <t>toʻliq</t>
  </si>
  <si>
    <t>Soliyev Jaxongir Rashidjon oʻgʻli</t>
  </si>
  <si>
    <t>Kredit tashkilotlarida moliyaviy, monitoringni muvofiqlashtigish va valyuta
nazorati boʻlimi</t>
  </si>
  <si>
    <t>Kadirov Laziz Shuxrat oʻgʻli</t>
  </si>
  <si>
    <t>Toʻlov tizimlari infratuzilmalari va axborot texnologiyalari boʻlimi</t>
  </si>
  <si>
    <t>Mirxodjayeva Irodaxon Anvarbek qizi</t>
  </si>
  <si>
    <t>Ijro apparati</t>
  </si>
  <si>
    <t>Xatamova Guzal Faritovna</t>
  </si>
  <si>
    <t>Xakimova Sevara Nasirdjanovna</t>
  </si>
  <si>
    <t>Maxammadiyev Xurram Xaydarovich</t>
  </si>
  <si>
    <t>pullik kompensatsiya</t>
  </si>
  <si>
    <t>Alimatova Mavsilya Vinerovna</t>
  </si>
  <si>
    <t>Buxgalteriya hisobi, hisoboti va moliyaviy-iqtisodiy faoliyat boshqarmasi</t>
  </si>
  <si>
    <t>Sultanxodjayev Xikmatilla Tillaxodjayevich</t>
  </si>
  <si>
    <t>Zaitov Fayzullo Xusanovich</t>
  </si>
  <si>
    <t>Xakimov Qosimjon Alisher oʻgʻli</t>
  </si>
  <si>
    <t>Abduvaliyev Erali Umarali oʻgʻli</t>
  </si>
  <si>
    <t>Tadbirkorlikni qoʻllab-quvvatlash va aholi bandligini taʼminlash boʻlimi</t>
  </si>
  <si>
    <t>1-yarmi</t>
  </si>
  <si>
    <t>Mamasoliyeva Kamola Baxtiyarovna</t>
  </si>
  <si>
    <t>Xudayberdiyev Axmadjon Raximberdiyevich</t>
  </si>
  <si>
    <t>Ziyayeva Nazokat Shavkatovna</t>
  </si>
  <si>
    <t>Maxmudova Gulnara Djurayevna</t>
  </si>
  <si>
    <t>Nurtinova Gulchexra Tashtemirovna</t>
  </si>
  <si>
    <t>Sandibayev Zafarjon Shuxratjonovich</t>
  </si>
  <si>
    <t>Gafurova Zilola Baxtiyorovna</t>
  </si>
  <si>
    <t>Jurayev Jaxongir Xikmatulloyevich</t>
  </si>
  <si>
    <t>Kredit tashkilotlarini inspeksiya qilish boshqarmasi</t>
  </si>
  <si>
    <t>Baxramova Gulchexra Kaxarxodjayevna</t>
  </si>
  <si>
    <t>Urmanov Ravshan Rixsibayevich</t>
  </si>
  <si>
    <t>Qimmatliklarni tashishni tashkil qilish boʻlimi</t>
  </si>
  <si>
    <t>Abduvaliyev Xusniddin Furqatovich</t>
  </si>
  <si>
    <t>Narxlar va iqtisodiy kutilmalarni oʻrganish boʻlimi</t>
  </si>
  <si>
    <t>Axatjanov Abduraxmon Qudratullayevich</t>
  </si>
  <si>
    <t>Kamalov Xabibulla Maxamadovich</t>
  </si>
  <si>
    <t>Latipova Nargiza Mirshamirovna</t>
  </si>
  <si>
    <t>Xashimov Mirzoxid Mirkamilovich</t>
  </si>
  <si>
    <t>Abduraxmonov Maxmudbek Magʻsudovich</t>
  </si>
  <si>
    <t>Bekmurodov Farxod Amrillayevich</t>
  </si>
  <si>
    <t>Hududlarni ijtimoiy-iqtisodiy rivojlantirish borasida tijorat banklari faoliyatini monitoring qilish boʻlimi</t>
  </si>
  <si>
    <t>Raximov Xurshid Voxidjon oʻgʻli</t>
  </si>
  <si>
    <t>Naqd pul muomalasini tashkil qilish va toʻlovlarni monitoring qilish boʻlimi</t>
  </si>
  <si>
    <t>Rasulova Munisa Bositxujayevna</t>
  </si>
  <si>
    <t>Samigova Shahodat Nasirjonovna</t>
  </si>
  <si>
    <t>Pardayev Eshdavlat Abdimoʻminovich</t>
  </si>
  <si>
    <t>Bosh yuriskonsult</t>
  </si>
  <si>
    <t>Yoʻldoshxonov Akmalxon Abdullaxonovich</t>
  </si>
  <si>
    <t>Bosh auditor</t>
  </si>
  <si>
    <t>Aliyev Jamshidjon Gafurdjanovich</t>
  </si>
  <si>
    <t>Karayev Xikmatillo Karshiyevich</t>
  </si>
  <si>
    <t>Xavfsizlik va axborotni muhofaza qilish shuʼbasi</t>
  </si>
  <si>
    <t>Umardjanov Xotam Xasanovich</t>
  </si>
  <si>
    <t>Sharipov Xasan Djurayevich</t>
  </si>
  <si>
    <t>Nuraliyev Bekzod Fazliddin oʻgʻli</t>
  </si>
  <si>
    <t>Bosh boshqarma boshligʻi oʻrinbosari</t>
  </si>
  <si>
    <t>Tulyakov Faxriddin Yuldashboyevich</t>
  </si>
  <si>
    <t>Roʻziyeva Dilfuza Shavkatovna</t>
  </si>
  <si>
    <t>Tursunov Normumin Abduxamidovich</t>
  </si>
  <si>
    <t>Tijorat banklarida davlat maqsadli dasturlari ijrosini monitoring qilish boshqarmasi</t>
  </si>
  <si>
    <t>Tosheva Soxiba Suyarovna</t>
  </si>
  <si>
    <t>Alimxadjayeva Dilafruz Maxsutovna</t>
  </si>
  <si>
    <t>76A</t>
  </si>
  <si>
    <t>Asamitdinov Xusnitdin Sayfitdinovich</t>
  </si>
  <si>
    <t>Irgashev Sherzod Rabimovich</t>
  </si>
  <si>
    <t>Karimov Alisher Saydumarovich</t>
  </si>
  <si>
    <t>Doniyorov Baxrom Baxtiyor oʻgʻli</t>
  </si>
  <si>
    <t>Karimov Sherzod Alaskarovich</t>
  </si>
  <si>
    <t>Matboboyev Utkirjon Rustamovich</t>
  </si>
  <si>
    <t>Xaitov Muzaffar Akbarovich</t>
  </si>
  <si>
    <t>Yusupova Viloyat Lutpidinovna</t>
  </si>
  <si>
    <t>Mirzaraximova Zuxra Gafurjanovna</t>
  </si>
  <si>
    <t>Obidova Nodira Akrom qizi</t>
  </si>
  <si>
    <t>Zakirova Shaxnoza Alimxodjayevna</t>
  </si>
  <si>
    <t>Ibragimova Patigul Turdi qizi</t>
  </si>
  <si>
    <t>Xakimov Bobur Erkin oʻgʻli</t>
  </si>
  <si>
    <t>Sobirov Sobitxon Saidburxon oʻgʻli</t>
  </si>
  <si>
    <t>Naqd pul muomalasini tashkil etish boshqarmasi</t>
  </si>
  <si>
    <t>Yarmatov Abrorjon Elmurodovich</t>
  </si>
  <si>
    <t>Kredit tashkilotlarining muammoli aktivlari bilan ishlash va moliyaviy tahlil qilish
boʻlimi</t>
  </si>
  <si>
    <t>Abdiqodirov Sherzod Sobir oʻgʻli</t>
  </si>
  <si>
    <t>Alimatova Nina Sergeevna</t>
  </si>
  <si>
    <t>Xatamov Aʼlamxon Akbarovich</t>
  </si>
  <si>
    <t>Maripov Rixsixodja Raxmatovich</t>
  </si>
  <si>
    <t>Rahbariyat qoshidagi Safarbar etish ishlari va fuqarolarni himoyalash boʻyicha
muhandis</t>
  </si>
  <si>
    <t>Tagayeva Raʼno Xasanovna</t>
  </si>
  <si>
    <t>Xalmuxamedov Doniyor Mulabayevich</t>
  </si>
  <si>
    <t>Rayimberdiyev Shodil Abdimajitovich</t>
  </si>
  <si>
    <t>Abdullayeva Muxabbat Imomovna</t>
  </si>
  <si>
    <t>Jumayeva Hilola Nusratullayevna</t>
  </si>
  <si>
    <t>Umarov Mirzoxid Mirxilolovich</t>
  </si>
  <si>
    <t>Yunusova Maqbula Sabitovna</t>
  </si>
  <si>
    <t>2-yarmi</t>
  </si>
  <si>
    <t>Raxmanova Dildora Sabitovna</t>
  </si>
  <si>
    <t>Sarikulova Dilafruz Islomovna</t>
  </si>
  <si>
    <t>Rasuleva Nargisa Anvarovna</t>
  </si>
  <si>
    <t>Xusomiddinov Kamoliddin Saloxiddinovich</t>
  </si>
  <si>
    <t>Yusupov Murod Abduraxmonovich</t>
  </si>
  <si>
    <t>Axrorov Shaxobiddin Ravshanovich</t>
  </si>
  <si>
    <t>Bank xizmatlari isteʼmolchilarining huquqlarini himoya qilish, moliyaviy savodxonlik
va ommaboplikni oshirish shuʼbasi</t>
  </si>
  <si>
    <t>Tangirov Xasan Davlatboyevich</t>
  </si>
  <si>
    <t>Qodirjonova Feruza Shuhratovna</t>
  </si>
  <si>
    <t>Davronbekov Javlon Kamol oʻgʻli</t>
  </si>
  <si>
    <t>Berdiyarov Jamshid Abdurazzakovich</t>
  </si>
  <si>
    <t>Boltayev Shavkat Xasanovich</t>
  </si>
  <si>
    <t>Mirzakasimov Shavkat Farxatjanovich</t>
  </si>
  <si>
    <t>Alayev Rustam Xayriddinovich</t>
  </si>
  <si>
    <t>Axmedova Xurshidaxon Rashadovna</t>
  </si>
  <si>
    <t>Muxsumov Javoxir Ruxiddin oʻgʻli</t>
  </si>
  <si>
    <t>Abbosov Samariddin Ravshanovich</t>
  </si>
  <si>
    <t>Latipova Gulchehra Abrorjonovna</t>
  </si>
  <si>
    <t>Mirsabitova Dildora Xusnitdinovna</t>
  </si>
  <si>
    <t>Rahbariyat qoshidagi bosh mutaxassis</t>
  </si>
  <si>
    <t>Toshniyazov Ilhomjon Roʻziyevich</t>
  </si>
  <si>
    <t>Gulyamova Nargiza Lutfullayevna</t>
  </si>
  <si>
    <t>Yunusxoʻjayev Sirojiddinxoʻja Toʻlqinxoʻja oʻgʻli</t>
  </si>
  <si>
    <t>Shomirov Abdulaziz Abdurashidovich</t>
  </si>
  <si>
    <t>Karshibayev Ulugʻbek Baxodir oʻgʻli</t>
  </si>
  <si>
    <t>Yaminova Gulnoza Toirovna</t>
  </si>
  <si>
    <t>Nishanaliyev Islombek Valisherovich</t>
  </si>
  <si>
    <t>Israilova Dilafruz Rustambayevna</t>
  </si>
  <si>
    <t>Shaubayev Rixsulla Xabibullayevich</t>
  </si>
  <si>
    <t>Abduxalikov Toyirjon Abdurasilovich</t>
  </si>
  <si>
    <t>Mansurov Adxam Axmadovich</t>
  </si>
  <si>
    <t>Aripova Nargiza Yuldashevna</t>
  </si>
  <si>
    <t>Kadirova Shaxnoza Akbarovna</t>
  </si>
  <si>
    <t>Azimberdiyev Ulugʻbek Egamberdiyevich</t>
  </si>
  <si>
    <t>Karimov Ilxomjon Ismoilovich</t>
  </si>
  <si>
    <t>Otaxonov Axyorxon Abrorovich</t>
  </si>
  <si>
    <t>Abdullayev Abral Akmalovich</t>
  </si>
  <si>
    <t>Raxmatov Sharifxoʻja Joʻra oʻgʻli</t>
  </si>
  <si>
    <t>Zaitova Dilfuza Tursunboy qizi</t>
  </si>
  <si>
    <t>Irdjanova Malika Xusnutdinovna</t>
  </si>
  <si>
    <t>Fayzullayev Qodirbek Baxtiyor oʻgʻli</t>
  </si>
  <si>
    <t>Joʻrayev Anvar Abdumurotovich</t>
  </si>
  <si>
    <t>Kadirshayeva Malika Alijanovna</t>
  </si>
  <si>
    <t>Akmalova Nilufar Abdufataxovna</t>
  </si>
  <si>
    <t>Ibragimov Djamoliddin Shaxobovich</t>
  </si>
  <si>
    <t>Ubayeva Dono Gʻaniyevna</t>
  </si>
  <si>
    <t>Musaxodjayeva Dildora Kaxarxodjayevna</t>
  </si>
  <si>
    <t>Sanakulov Abdurasul Rizokulovich</t>
  </si>
  <si>
    <t>Ismailov Rustam Egamberdiyevich</t>
  </si>
  <si>
    <t>Fayzullaxoʻjayev Jasur Xakimovich</t>
  </si>
  <si>
    <t>Bosh boshqarma boshligʻi</t>
  </si>
  <si>
    <t>Markaziy bank Toshkent viloyati bosh boshqarmasining 2025-yilda yubiley sanalarini nishonlagan xodimlari toʻgʻrisida maʼlumot</t>
  </si>
  <si>
    <t>Yubiley yoshi</t>
  </si>
  <si>
    <t>Xatamova Goʻzal Faritovna</t>
  </si>
  <si>
    <t>10.12.2024-24.12.2024</t>
  </si>
  <si>
    <t>03.01.2025-07.01.2025</t>
  </si>
  <si>
    <t>10.12.2024-28.12.2024</t>
  </si>
  <si>
    <t>03.01.2025-10.01.2025</t>
  </si>
  <si>
    <t>22.01.2025-24.01.2025</t>
  </si>
  <si>
    <t>15.01.2025-22.01.2025</t>
  </si>
  <si>
    <t>21.01.2025-25.01.2025</t>
  </si>
  <si>
    <t>03.01.2025-17.01.2025</t>
  </si>
  <si>
    <t>20.01.2025-24.01.2025</t>
  </si>
  <si>
    <t>17.02.2025-21.02.2025</t>
  </si>
  <si>
    <t>10.02.2025-20.02.2025</t>
  </si>
  <si>
    <t>28.01.2025-07.02.2025</t>
  </si>
  <si>
    <t>06.02.2025-15.02.2025</t>
  </si>
  <si>
    <t>03.02.2025-12.02.2025</t>
  </si>
  <si>
    <t>10.02.2025-24.02.2025</t>
  </si>
  <si>
    <t>20.02.2025-01.03.2025</t>
  </si>
  <si>
    <t>21.02.2025-01.03.2025</t>
  </si>
  <si>
    <t>17.02.2025-07.03.2025</t>
  </si>
  <si>
    <t>24.02.2025-26.02.2025</t>
  </si>
  <si>
    <t>11.03.2025-15.03.2025</t>
  </si>
  <si>
    <t>27.02.2025-14.03.2025</t>
  </si>
  <si>
    <t>04.03.2025-08.03.2025</t>
  </si>
  <si>
    <t>01.04.2025-07.04.2025</t>
  </si>
  <si>
    <t>08.04.2025-14.04.2025</t>
  </si>
  <si>
    <t>24.03.2025-02.04.2025</t>
  </si>
  <si>
    <t>25.03.2025-29.03.2025</t>
  </si>
  <si>
    <t>11.03.2025-25.03.2025</t>
  </si>
  <si>
    <t>04.03.2025-17.03.2025</t>
  </si>
  <si>
    <t>01.04.2025-10.04.2025</t>
  </si>
  <si>
    <t>21.04.2025-25.04.2025</t>
  </si>
  <si>
    <t>01.04.2025-11.04.2025</t>
  </si>
  <si>
    <t>14.04.2025-18.04.2025</t>
  </si>
  <si>
    <t>15.04.2025-19.04.2025</t>
  </si>
  <si>
    <t>16.04.2025-25.04.2025</t>
  </si>
  <si>
    <t>18.03.2025-11.04.2025</t>
  </si>
  <si>
    <t>21.04.2025-02.05.2025</t>
  </si>
  <si>
    <t>12.04.2025-01.05.2025</t>
  </si>
  <si>
    <t>19.05.2025-23.05.2025</t>
  </si>
  <si>
    <t>14.04.2025-02.05.2025</t>
  </si>
  <si>
    <t>21.04.2025-25.05.2025</t>
  </si>
  <si>
    <t>30.04.2025-05.05.2025</t>
  </si>
  <si>
    <t>05.05.2025-10.05.2025</t>
  </si>
  <si>
    <t>28.04.2025-07.05.2025</t>
  </si>
  <si>
    <t>05.05.2025-09.05.2025</t>
  </si>
  <si>
    <t>12.05.2025-21.05.2025</t>
  </si>
  <si>
    <t>13.05.2025-23.05.2025</t>
  </si>
  <si>
    <t>26.05.2025-30.05.2025</t>
  </si>
  <si>
    <t>02.06.2025-05.06.2025</t>
  </si>
  <si>
    <t>05.05.2025-24.05.2025</t>
  </si>
  <si>
    <t>20.05.2025-31.05.2025</t>
  </si>
  <si>
    <t>26.05.2025-04.06.2025</t>
  </si>
  <si>
    <t>02.06.2025-06.06.2025</t>
  </si>
  <si>
    <t>03.06.2025-05.06.2025</t>
  </si>
  <si>
    <t>10.06.2025-24.06.2025</t>
  </si>
  <si>
    <t>16.06.2025-20.06.2025</t>
  </si>
  <si>
    <t>10.06.2025-14.06.2025</t>
  </si>
  <si>
    <t>16.06.2025-27.06.2025</t>
  </si>
  <si>
    <t>23.06.2025-27.06.2025</t>
  </si>
  <si>
    <t>23.07.2025-01.08.2025</t>
  </si>
  <si>
    <t>21.07.2025-30.07.2025</t>
  </si>
  <si>
    <t>05.08.2025-09.08.2025</t>
  </si>
  <si>
    <t>20.08.2025-26.08.2025</t>
  </si>
  <si>
    <t>06.08.2025-18.08.2025</t>
  </si>
  <si>
    <t>25.08.2025-29.08.2025</t>
  </si>
  <si>
    <t>20.08.2025-30.08.2025</t>
  </si>
  <si>
    <t>02.09.2025-05.09.2025</t>
  </si>
  <si>
    <t>15.09.2025-27.09.2025</t>
  </si>
  <si>
    <t>17.09.2025-20.09.2025</t>
  </si>
  <si>
    <t>20.09.2025-27.09.2025</t>
  </si>
  <si>
    <t>02.10.2025-11.10.2025</t>
  </si>
  <si>
    <t>07.10.2025-09.10.2025</t>
  </si>
  <si>
    <t>10.10.2025-23.10.2025</t>
  </si>
  <si>
    <t>13.10.2025-17.10.2025</t>
  </si>
  <si>
    <t>13.10.2025-24.10.2025</t>
  </si>
  <si>
    <t>27.10.2025-31.10.2025</t>
  </si>
  <si>
    <t>03.11.2025-07.11.2025</t>
  </si>
  <si>
    <t>30.10.2025-03.11.2025</t>
  </si>
  <si>
    <t>19.11.2025-21.11.2025</t>
  </si>
  <si>
    <t>03.11.2025-16.11.2025</t>
  </si>
  <si>
    <t>10.11.2025-14.11.2025</t>
  </si>
  <si>
    <t>18.11.2025-26.11.2025</t>
  </si>
  <si>
    <t>27.11.2025-01.12.2025</t>
  </si>
  <si>
    <t>05.12.2025-13.12.2025</t>
  </si>
  <si>
    <t>27.11.2025-06.12.2025</t>
  </si>
  <si>
    <t>21.11.2025-29.11.2025</t>
  </si>
  <si>
    <t>17.12.2025-24.12.2025</t>
  </si>
  <si>
    <t>09.12.2025-19.12.2025</t>
  </si>
  <si>
    <t>19.12.2025-24.12.2025</t>
  </si>
  <si>
    <t>Markaziy bank Toshkent viloyati bosh boshqarmasi xodimlarining 2025-yil davomida vaqtinchalik mehnatga layoqatsizlik taʼtilga chiqqanligi toʻgʻrisida maʼlumot</t>
  </si>
  <si>
    <t>Kasallik varaqasi boʻyicha toʻlov qilingan oy</t>
  </si>
  <si>
    <t>Kasallik varaqi davriyligi</t>
  </si>
  <si>
    <t>Nizamov Aziz Kabiljanovich</t>
  </si>
  <si>
    <t>Bosh boshqarma boshligʻi (sobiq)</t>
  </si>
  <si>
    <t>Raxmonova Dildora Sabitovna</t>
  </si>
  <si>
    <t>Abduxalilov Abdurasul Yodgor oʻgʻli</t>
  </si>
  <si>
    <t>Ikramova Dilnoza Baxritdinovna</t>
  </si>
  <si>
    <t>Xodimlar bilan ishlash boʻyicha bosh mutaxassis</t>
  </si>
  <si>
    <t>Amirov Abduvosit Xusniddin oʻgʻli</t>
  </si>
  <si>
    <t>Veb Kamera HP</t>
  </si>
  <si>
    <t>Markaziy bank Toshkent viloyati bosh boshqarmasi tarkibiy boʻlinmalari tomonidan ombordan olingan kam baholi tez eskiruvchi buyumlar toʻgʻrisida maʼlumot</t>
  </si>
  <si>
    <t>Sana</t>
  </si>
  <si>
    <t>Mahsulot nomi</t>
  </si>
  <si>
    <t>Soni</t>
  </si>
  <si>
    <t>Narxi</t>
  </si>
  <si>
    <t>Summasi</t>
  </si>
  <si>
    <t>01.01.2026-yil holatiga</t>
  </si>
  <si>
    <t>Talabnoma yozgan boʻlim nomi</t>
  </si>
  <si>
    <t>HKKM buxgalteriya</t>
  </si>
  <si>
    <t>Ruchka Offix1.0mm(sn)link</t>
  </si>
  <si>
    <t>Tikmajild (Skorosshivatel)</t>
  </si>
  <si>
    <t>Shtamp yostiqchasi uchun kraska  (28g Trodat)</t>
  </si>
  <si>
    <t>Rulon qogʻoz (300 mm)</t>
  </si>
  <si>
    <t>Kley (PVA)</t>
  </si>
  <si>
    <t>Dater</t>
  </si>
  <si>
    <t>HKKM kassa</t>
  </si>
  <si>
    <t>Oq boʻz mato (Baz otbelennaya)</t>
  </si>
  <si>
    <t>m</t>
  </si>
  <si>
    <t>Stepler uchun oʻq</t>
  </si>
  <si>
    <t>Marker (Schneider)</t>
  </si>
  <si>
    <t>Maʼmuriy xizmat (rahbariyat)</t>
  </si>
  <si>
    <t>Ruchka gelli (Uniball Gel Impact)</t>
  </si>
  <si>
    <t>Suyuq sovun (DAILY 1l)</t>
  </si>
  <si>
    <t>Havo tozalagich (Air Wick)</t>
  </si>
  <si>
    <t>Havo tozalagich</t>
  </si>
  <si>
    <t>Tualetnaya bumaga</t>
  </si>
  <si>
    <t>AA oʻlchamli batareyka</t>
  </si>
  <si>
    <t>Kadr</t>
  </si>
  <si>
    <t>Buyruq blankasi №000 001-001 000 [zak.№153-OK (2023)]</t>
  </si>
  <si>
    <t>Banderol 50 000 sum</t>
  </si>
  <si>
    <t>Banderol 100 000 sum</t>
  </si>
  <si>
    <t>Banderol 10 000 sum</t>
  </si>
  <si>
    <t>Banderol 5 000 sum</t>
  </si>
  <si>
    <t>Banderol 2 000 sum</t>
  </si>
  <si>
    <t>Nakladka 100000 sumlik</t>
  </si>
  <si>
    <t>Koʻchirish qogʻozi (bumaga kopirovalnaya)</t>
  </si>
  <si>
    <t>upak</t>
  </si>
  <si>
    <t>Xoʻjalik sovuni (Milo xoz-ye tverdoye)</t>
  </si>
  <si>
    <t>Blanka (kunlik kassa hujjat-ng yigʻma jild blankasi)</t>
  </si>
  <si>
    <t>Havo tozalagich (Aroma diffuzor)</t>
  </si>
  <si>
    <t>Supurgi</t>
  </si>
  <si>
    <t>Tozalash vositasi</t>
  </si>
  <si>
    <t>Rezina qoʻlqop</t>
  </si>
  <si>
    <t>Latta (Tryapka dlya ochistki poverxnostey)</t>
  </si>
  <si>
    <t>Toʻqilmagan mato (Polotno netkanoye)</t>
  </si>
  <si>
    <t>Pinter uchun kartridj (SLC- CRG 070H)</t>
  </si>
  <si>
    <t>Stepler uchun tutqich</t>
  </si>
  <si>
    <t>Kredit tashkilotlarida moliyaviy monitoringni muvofiqlashtirish va valyuta nazorati boʻlimi</t>
  </si>
  <si>
    <t>Qalam (Karandash  s lastikom Achiever  Ac126)</t>
  </si>
  <si>
    <t>A3 qogʻoz (Bumaga ofisnaya "Svetocopy")</t>
  </si>
  <si>
    <t>Rulon qogʻoz (210 mm)</t>
  </si>
  <si>
    <t>Kg</t>
  </si>
  <si>
    <t>Buklet (Eslatma 1)</t>
  </si>
  <si>
    <t>Buklet (Eslatma 2)</t>
  </si>
  <si>
    <t>Table-tent</t>
  </si>
  <si>
    <t>2025-yilga moʻljallangan stol kalendari</t>
  </si>
  <si>
    <t>Kley stik ʻDELIʻ</t>
  </si>
  <si>
    <t>Marka 7400 soʻmlik</t>
  </si>
  <si>
    <t>Marka 400 soʻmlik</t>
  </si>
  <si>
    <t>Marka 600 soʻmlik</t>
  </si>
  <si>
    <t>Valyuta kassa kitobi (155 kniga-96sht.41b-2sht. 171-2sht)</t>
  </si>
  <si>
    <t>1-boʻlim</t>
  </si>
  <si>
    <t>Chizgʻich 30sm (plastik)</t>
  </si>
  <si>
    <t>Upak</t>
  </si>
  <si>
    <t>AAA oʻlchamli batareyka</t>
  </si>
  <si>
    <t>Banderol 20 000 sum</t>
  </si>
  <si>
    <t>Banderol 200 000 sum</t>
  </si>
  <si>
    <t>Nakladka 20000 sumlik</t>
  </si>
  <si>
    <t>Nakladka 50000 sumlik</t>
  </si>
  <si>
    <t>Teflon lenta</t>
  </si>
  <si>
    <t>Kassa kitobi (141V-141A-120-171)</t>
  </si>
  <si>
    <t xml:space="preserve">A5 qogʻoz </t>
  </si>
  <si>
    <t>Farmoyish blankalar</t>
  </si>
  <si>
    <t>Dizel yoqilgʻisi</t>
  </si>
  <si>
    <t>Litr</t>
  </si>
  <si>
    <t>Kanop ip (Nit shpagat)</t>
  </si>
  <si>
    <t>Opis</t>
  </si>
  <si>
    <t>Ketmon uchun mop (Cherenok dlya ketmenya)</t>
  </si>
  <si>
    <t>Dirokol</t>
  </si>
  <si>
    <t>Stiker</t>
  </si>
  <si>
    <t>Papka A-4 (imzo uchn)</t>
  </si>
  <si>
    <t>Pochta konverti (Yevro)</t>
  </si>
  <si>
    <t>Firma blankasi</t>
  </si>
  <si>
    <t>Dekstrin kley</t>
  </si>
  <si>
    <t>Bir boʻlsak-yagona xalqmiz,birlashsak xalqmiz</t>
  </si>
  <si>
    <t>Bir boʻlsak-yagona xalqmiz, birlashsak xalqmiz</t>
  </si>
  <si>
    <t>Marka 1100 soʻmlik</t>
  </si>
  <si>
    <t>Marka 2500 soʻmlik</t>
  </si>
  <si>
    <t>Validol tab 60mg</t>
  </si>
  <si>
    <t>Analgin amp50%</t>
  </si>
  <si>
    <t>Vata gigiyenicheskaya</t>
  </si>
  <si>
    <t>Glitserin med90ml</t>
  </si>
  <si>
    <t>Flak</t>
  </si>
  <si>
    <t>Zelenkam-RMF</t>
  </si>
  <si>
    <t>Dimedrol amp1%1 mlg</t>
  </si>
  <si>
    <t>Magniya sulfat 250mg</t>
  </si>
  <si>
    <t>Yod 5% 20mlg</t>
  </si>
  <si>
    <t>Paratsetamol-UBF</t>
  </si>
  <si>
    <t>Korvalol 25 ml</t>
  </si>
  <si>
    <t>Spirt etil med 70%</t>
  </si>
  <si>
    <t>Levomitsetin 0.5g</t>
  </si>
  <si>
    <t>Fanigan tab№100</t>
  </si>
  <si>
    <t>Perekis vodoroda 3%</t>
  </si>
  <si>
    <t>Farmadipin 2%</t>
  </si>
  <si>
    <t>Tonometr mexan-y</t>
  </si>
  <si>
    <t>Enam tab.5 mg</t>
  </si>
  <si>
    <t>Tuba s tonerom Conan C-EXV 49.</t>
  </si>
  <si>
    <t>komp</t>
  </si>
  <si>
    <t>Nakladka 2000 sumlik</t>
  </si>
  <si>
    <t>Bank xizmatlari isteʼmolchilarining huquqlarini himoya qilish, moliyaviy savodxonlik va ommaboplikni oshirish shuʼbasi</t>
  </si>
  <si>
    <t>Kapsulada ichimlik suvi (Voda pityevaya upakovannaya)</t>
  </si>
  <si>
    <t>Nakladka 5000 sumlik</t>
  </si>
  <si>
    <t>Nakladka 10000 sumlik</t>
  </si>
  <si>
    <t>Sredstvo moyuщiye dlya stekol i zerkal</t>
  </si>
  <si>
    <t>Havo tozalagich (AIR WICK250ml)</t>
  </si>
  <si>
    <t>Shtamp yostiqchasi (Horse №2)</t>
  </si>
  <si>
    <t>Banderol 1000 sumlik</t>
  </si>
  <si>
    <t>Banderol 2000 sumlik</t>
  </si>
  <si>
    <t>Banderol 5000 sumlik</t>
  </si>
  <si>
    <t>Banderol 10 000 sumlik</t>
  </si>
  <si>
    <t>Banderol 20 000 sumlik</t>
  </si>
  <si>
    <t>Banderol 50 000 sumlik</t>
  </si>
  <si>
    <t>Banderol 100 000 sumlik</t>
  </si>
  <si>
    <t>Banderol 200 000 sumlik</t>
  </si>
  <si>
    <t>Qalam (Karandash cher s rezinkoy HBDeli E38029)</t>
  </si>
  <si>
    <t>161 shakl</t>
  </si>
  <si>
    <t>123-shakl kitobi</t>
  </si>
  <si>
    <t>Maska litsevaya</t>
  </si>
  <si>
    <t>Blanka opis (45 ilova format A4 70gr)</t>
  </si>
  <si>
    <t>Qisqich (zajim dlya bumagi)</t>
  </si>
  <si>
    <t>LED lampa</t>
  </si>
  <si>
    <t>Kredit tashkilotlarining muammoli aktivlari bilan ishlash va moliyaviy tahlil qilish boʻlimi</t>
  </si>
  <si>
    <t>Valikli choʻtka</t>
  </si>
  <si>
    <t>Printer uchun kartridj (Canon Toner C-EXV 49 or)</t>
  </si>
  <si>
    <t>Komp</t>
  </si>
  <si>
    <t>Chizgʻich (Lineyka chertejnaya)</t>
  </si>
  <si>
    <t>Marka 8400 soʻmlik</t>
  </si>
  <si>
    <t xml:space="preserve">Marka 3100 soʻmlik </t>
  </si>
  <si>
    <t xml:space="preserve">Marka 1000 soʻmlik </t>
  </si>
  <si>
    <t>Pochta konverti</t>
  </si>
  <si>
    <t>Plastmassa chelak (Vedro plastmassovoye)</t>
  </si>
  <si>
    <t>Tualetnaya bumaga Elma(6sht v  upakovke)</t>
  </si>
  <si>
    <t>Latta (Tryapka YSK Black King)</t>
  </si>
  <si>
    <t xml:space="preserve">Is olish choʻtkasi </t>
  </si>
  <si>
    <t>A4 formatdagi kogoz</t>
  </si>
  <si>
    <t>kapsu</t>
  </si>
  <si>
    <t>Nakladka 200000 sumlik</t>
  </si>
  <si>
    <t>Ostki nakladka 1000 sum</t>
  </si>
  <si>
    <t>Blanka nazorat varagʻi (175-shakl)</t>
  </si>
  <si>
    <t>Papka</t>
  </si>
  <si>
    <t>Tutqich (Skoba 24/6)</t>
  </si>
  <si>
    <t>Qisqich (Skrepki 29mm)</t>
  </si>
  <si>
    <t>Dozator suyuq sovun uchun (500ml.)</t>
  </si>
  <si>
    <t>Mramor uchun choʻtka</t>
  </si>
  <si>
    <t>Hojatxona uchun maxsus suyuq sovun</t>
  </si>
  <si>
    <t>Laminat va parket yuvish vositasi (1l)</t>
  </si>
  <si>
    <t>Kley Akfiks (bolshoy)</t>
  </si>
  <si>
    <t>Kabel uchun plastmassa quti</t>
  </si>
  <si>
    <t>Chiziqli projektor</t>
  </si>
  <si>
    <t>Projektor 150W4000K</t>
  </si>
  <si>
    <t>Provod PVS 2*1,5mm</t>
  </si>
  <si>
    <t>Provod PVS4*2.5</t>
  </si>
  <si>
    <t>Izolenta</t>
  </si>
  <si>
    <t>109-, 110-, 111-shakllar</t>
  </si>
  <si>
    <t>Nimcha (Jilet)</t>
  </si>
  <si>
    <t>Printer uchun kartridj (SLC- CRG 070H)</t>
  </si>
  <si>
    <t>LED lampa T-8 9w</t>
  </si>
  <si>
    <t>Banknota va tangalar katalogi</t>
  </si>
  <si>
    <t>IBP uchun akkumulyatorli batareya (Hermentic gel lead acid batter)</t>
  </si>
  <si>
    <t>Tashqi taʼsirlardan himoya uchun qoʻlqop (Perchatki trikotajnie dlya zaщiti ot vneshnix vozdestviy)</t>
  </si>
  <si>
    <t>Sredstvo dlya mitya posudi</t>
  </si>
  <si>
    <t>Qogʻoz sochiq (Bumajnie polotensa (v meshke 16) Elma(402)</t>
  </si>
  <si>
    <t>Batareya pervichnix elementov</t>
  </si>
  <si>
    <t>Qogʻoz salfetka (Bumajnie salfetki Elma)</t>
  </si>
  <si>
    <t>Termometr rtutniy</t>
  </si>
  <si>
    <t>Leykoplastir</t>
  </si>
  <si>
    <t>Qogʻoz sochiq (Bumajnie polotense ELMA)</t>
  </si>
  <si>
    <t>Oq yozuv taxtasi uchun marker (marker dlya beloy doski 2mm(krasniy)Deli)</t>
  </si>
  <si>
    <t>Mikrokalkulyatori (Casio Dr 16on 8620)</t>
  </si>
  <si>
    <t>Metal qoziqlar (Metizi dlya krepleniya)</t>
  </si>
  <si>
    <t>Konvert pochtoviy S5.</t>
  </si>
  <si>
    <t>Markaziy bank Toshkent viloyati bosh boshqarmasida faoliyat yuritayotgan xodimlarning mehnat staji boʻyicha maʼlumot</t>
  </si>
  <si>
    <t>Xodimning F.I.O</t>
  </si>
  <si>
    <t>Ish boshlagan yili</t>
  </si>
  <si>
    <t>Bank tizimidagi ish staji</t>
  </si>
  <si>
    <t>Bank tizimidagi staji yili</t>
  </si>
  <si>
    <t>Ish staji uchun qoʻshimcha toʻlov miqdori foizda</t>
  </si>
  <si>
    <t>16 yil 3 oy 0</t>
  </si>
  <si>
    <t>22 yil 1 oy 11</t>
  </si>
  <si>
    <t>Nuraliyev Bekzod Fazliddinovich</t>
  </si>
  <si>
    <t>12 yil 7 oy 5</t>
  </si>
  <si>
    <t>16 yil 9 oy 0</t>
  </si>
  <si>
    <t>19 yil 5 oy 12</t>
  </si>
  <si>
    <t>14 yil 10 oy 9</t>
  </si>
  <si>
    <t>Mirsobitova Dildora Xusnitdinovna</t>
  </si>
  <si>
    <t>29 yil 8 oy 3</t>
  </si>
  <si>
    <t>Turdiyev Alisher Turgʻunjon oʻgʻli</t>
  </si>
  <si>
    <t>7 yil 1 oy 17</t>
  </si>
  <si>
    <t>29 yil 11 oy 14</t>
  </si>
  <si>
    <t>15 yil 1 oy 29</t>
  </si>
  <si>
    <t>27 yil 9 oy 6</t>
  </si>
  <si>
    <t>21 yil 7 oy 7</t>
  </si>
  <si>
    <t>10 yil 1 oy 8</t>
  </si>
  <si>
    <t>7 yil 2 oy 21</t>
  </si>
  <si>
    <t>21 yil 2 oy 16</t>
  </si>
  <si>
    <t>8 yil 6 oy 20</t>
  </si>
  <si>
    <t>12 yil 6 oy 5</t>
  </si>
  <si>
    <t>9 yil 3 oy 0</t>
  </si>
  <si>
    <t>14 yil 6 oy 15</t>
  </si>
  <si>
    <t>15 yil 1 oy 19</t>
  </si>
  <si>
    <t>23 yil 5 oy 24</t>
  </si>
  <si>
    <t>6 yil 2 oy 8</t>
  </si>
  <si>
    <t>26 yil 9 oy 0</t>
  </si>
  <si>
    <t>35 yil 6 oy 9</t>
  </si>
  <si>
    <t>23 yil 5 oy 4</t>
  </si>
  <si>
    <t>16 yil 1 oy 17</t>
  </si>
  <si>
    <t>29 yil 9 oy 12</t>
  </si>
  <si>
    <t>28 yil 6 oy 1</t>
  </si>
  <si>
    <t>43 yil 4 oy 12</t>
  </si>
  <si>
    <t>12 yil 6 oy 14</t>
  </si>
  <si>
    <t>9 yil 8 oy 29</t>
  </si>
  <si>
    <t>9 yil 3 oy 18</t>
  </si>
  <si>
    <t>14 yil 9 oy 8</t>
  </si>
  <si>
    <t>9 yil 6 oy 29</t>
  </si>
  <si>
    <t>10 yil 5 oy 13</t>
  </si>
  <si>
    <t>7 yil 1 oy 29</t>
  </si>
  <si>
    <t>16 yil 7 oy 21</t>
  </si>
  <si>
    <t>28 yil 0 oy 11</t>
  </si>
  <si>
    <t>21 yil 4 oy 25</t>
  </si>
  <si>
    <t>9 yil 0 oy 15</t>
  </si>
  <si>
    <t>13 yil 10 oy 25</t>
  </si>
  <si>
    <t>18 yil 9 oy 1</t>
  </si>
  <si>
    <t>14 yil 4 oy 0</t>
  </si>
  <si>
    <t>14 yil 3 oy 14</t>
  </si>
  <si>
    <t>9 yil 11 oy 18</t>
  </si>
  <si>
    <t>7 yil 0 oy 8</t>
  </si>
  <si>
    <t>6 yil 3 oy 12</t>
  </si>
  <si>
    <t>7 yil 6 oy 11</t>
  </si>
  <si>
    <t>29 yil 8 oy 4</t>
  </si>
  <si>
    <t>29 yil 0 oy 0</t>
  </si>
  <si>
    <t>18 yil 3 oy 19</t>
  </si>
  <si>
    <t>15 yil 5 oy 4</t>
  </si>
  <si>
    <t>18 yil 4 oy 8</t>
  </si>
  <si>
    <t>7 yil 7 oy 30</t>
  </si>
  <si>
    <t>12 yil 4 oy 11</t>
  </si>
  <si>
    <t>Ashiraliyev Boburmirzo Botirjon oʻgʻli</t>
  </si>
  <si>
    <t>3 yil 6 oy 9</t>
  </si>
  <si>
    <t>16 yil 2 oy 8</t>
  </si>
  <si>
    <t>10 yil 2 oy 21</t>
  </si>
  <si>
    <t>26 yil 2 oy 9</t>
  </si>
  <si>
    <t>Ortikov Maxammadjon Adxamjon oʻgʻli</t>
  </si>
  <si>
    <t>1 yil 10 oy 21</t>
  </si>
  <si>
    <t>Eshmuratova Nilufar Djurabayevna</t>
  </si>
  <si>
    <t>14 yil 9 oy 19</t>
  </si>
  <si>
    <t>21 yil 5 oy 2</t>
  </si>
  <si>
    <t>29 yil 2 oy 20</t>
  </si>
  <si>
    <t>26 yil 8 oy 9</t>
  </si>
  <si>
    <t>12 yil 11 oy 18</t>
  </si>
  <si>
    <t>8 yil 9 oy 23</t>
  </si>
  <si>
    <t>15 yil 6 oy 23</t>
  </si>
  <si>
    <t>16 yil 4 oy 17</t>
  </si>
  <si>
    <t>17 yil 10 oy 8</t>
  </si>
  <si>
    <t>12 yil 2 oy 16</t>
  </si>
  <si>
    <t>10 yil 9 oy 18</t>
  </si>
  <si>
    <t>Alimxodjayeva Dilafruz Maxsutovna</t>
  </si>
  <si>
    <t>6 yil 0 oy 21</t>
  </si>
  <si>
    <t>26 yil 0 oy 21</t>
  </si>
  <si>
    <t>Gafurova Mukaddas Maxmudjonovna</t>
  </si>
  <si>
    <t>0 yil 4 oy 19</t>
  </si>
  <si>
    <t>13 yil 9 oy 6</t>
  </si>
  <si>
    <t>Samigova Shaxodat Nasirjanovna</t>
  </si>
  <si>
    <t>24 yil 6 oy 14</t>
  </si>
  <si>
    <t>24 yil 6 oy 15</t>
  </si>
  <si>
    <t>Ishankulova Dilfuza Abdufattoxovna</t>
  </si>
  <si>
    <t>0 yil 5 oy 14</t>
  </si>
  <si>
    <t>7 yil 5 oy 13</t>
  </si>
  <si>
    <t>0 yil 5 oy 1</t>
  </si>
  <si>
    <t>27 yil 7 oy 9</t>
  </si>
  <si>
    <t>19 yil 7 oy 29</t>
  </si>
  <si>
    <t>31 yil 5 oy 19</t>
  </si>
  <si>
    <t>33 yil 6 oy 28</t>
  </si>
  <si>
    <t>25 yil 0 oy 18</t>
  </si>
  <si>
    <t>16 yil 2 oy 25</t>
  </si>
  <si>
    <t>Ibragimov Jamoliddin Shaxobovich</t>
  </si>
  <si>
    <t>42 yil 8 oy 3</t>
  </si>
  <si>
    <t>31 yil 10 oy 16</t>
  </si>
  <si>
    <t>19 yil 10 oy 6</t>
  </si>
  <si>
    <t>18 yil 8 oy 18</t>
  </si>
  <si>
    <t>Yaminova Gulnoza Tairovna</t>
  </si>
  <si>
    <t>26 yil 1 oy 15</t>
  </si>
  <si>
    <t>30 yil 1 oy 7</t>
  </si>
  <si>
    <t>17 yil 10 oy 21</t>
  </si>
  <si>
    <t>17 yil 1 oy 28</t>
  </si>
  <si>
    <t>8 yil 10 oy 0</t>
  </si>
  <si>
    <t>27 yil 1 oy 19</t>
  </si>
  <si>
    <t>21 yil 0 oy 13</t>
  </si>
  <si>
    <t>19 yil 9 oy 9</t>
  </si>
  <si>
    <t>19 yil 4 oy 1</t>
  </si>
  <si>
    <t>12 yil 7 oy 29</t>
  </si>
  <si>
    <t>24 yil 6 oy 24</t>
  </si>
  <si>
    <t>11 yil 8 oy 28</t>
  </si>
  <si>
    <t>30 yil 1 oy 22</t>
  </si>
  <si>
    <t>22 yil 6 oy 16</t>
  </si>
  <si>
    <t>38 yil 0 oy 28</t>
  </si>
  <si>
    <t>16 yil 0 oy 9</t>
  </si>
  <si>
    <t>15 yil 11 oy 8</t>
  </si>
  <si>
    <t>25 yil 6 oy 17</t>
  </si>
  <si>
    <t>13 yil 4 oy 15</t>
  </si>
  <si>
    <t>21 yil 5 oy 27</t>
  </si>
  <si>
    <t>7 yil 7 oy 29</t>
  </si>
  <si>
    <t>8 yil 4 oy 24</t>
  </si>
  <si>
    <t>31 yil 8 oy 22</t>
  </si>
  <si>
    <t>23 yil 5 oy 6</t>
  </si>
  <si>
    <t>19 yil 2 oy 12</t>
  </si>
  <si>
    <t>22 yil 1 oy 29</t>
  </si>
  <si>
    <t>18 yil 3 oy 0</t>
  </si>
  <si>
    <t>12 yil 4 oy 29</t>
  </si>
  <si>
    <t>Markaziy bank Toshkent viloyati bosh boshqarmasi xodimlarining 2025-yil davomida yaqinlari vafot etganligi boʻyicha toʻlangan moddiy yordam toʻgʻrisida maʼlumot</t>
  </si>
  <si>
    <t>Moddiy yordam berilgan oy</t>
  </si>
  <si>
    <t>31210891080041</t>
  </si>
  <si>
    <t>ombor</t>
  </si>
  <si>
    <t>Asosiy vosita</t>
  </si>
  <si>
    <t>Ombor/xizmat</t>
  </si>
  <si>
    <t>KMTEB (Kam baholi tez eskiruvchan buyumlar) xarajati</t>
  </si>
  <si>
    <t>Daromadlar</t>
  </si>
  <si>
    <t>Taʼtil bolanish vaqti</t>
  </si>
  <si>
    <t>Ishga chiqish sanasi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</si>
</sst>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с_ў_м_-;\-* #,##0.00\ _с_ў_м_-;_-* &quot;-&quot;??\ _с_ў_м_-;_-@_-"/>
  </numFmts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2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4" fillId="0" borderId="0"/>
  </cellStyleXfs>
  <cellXfs count="67">
    <xf numFmtId="0" fontId="0" fillId="0" borderId="0" xfId="0"/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49" fontId="0" fillId="0" borderId="0" xfId="0" applyNumberFormat="1"/>
    <xf numFmtId="3" fontId="0" fillId="0" borderId="0" xfId="0" applyNumberFormat="1"/>
    <xf numFmtId="4" fontId="1" fillId="0" borderId="0" xfId="0" applyNumberFormat="1" applyFont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4" fontId="0" fillId="0" borderId="0" xfId="0" applyNumberFormat="1"/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" fontId="1" fillId="2" borderId="8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/>
    <xf numFmtId="0" fontId="7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left" vertical="top"/>
    </xf>
    <xf numFmtId="0" fontId="1" fillId="2" borderId="2" xfId="0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left" vertical="center"/>
    </xf>
    <xf numFmtId="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4" fontId="0" fillId="0" borderId="15" xfId="0" applyNumberFormat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0" xfId="0" applyAlignment="1">
      <alignment horizontal="center"/>
    </xf>
    <xf numFmtId="49" fontId="0" fillId="0" borderId="7" xfId="0" applyNumberForma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3">
    <cellStyle name="Обычный" xfId="0" builtinId="0"/>
    <cellStyle name="Обычный 2" xfId="2"/>
    <cellStyle name="Финансов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6"/>
  <sheetViews>
    <sheetView workbookViewId="0">
      <pane xSplit="1" ySplit="3" topLeftCell="BL4" activePane="bottomRight" state="frozen"/>
      <selection pane="topRight" activeCell="B1" sqref="B1"/>
      <selection pane="bottomLeft" activeCell="A3" sqref="A3"/>
      <selection pane="bottomRight" activeCell="BO2" sqref="BO2"/>
    </sheetView>
  </sheetViews>
  <sheetFormatPr defaultColWidth="9.140625" defaultRowHeight="15" x14ac:dyDescent="0.25"/>
  <cols>
    <col min="1" max="1" width="9.5703125" bestFit="1" customWidth="1"/>
    <col min="2" max="2" width="16.140625" bestFit="1" customWidth="1"/>
    <col min="3" max="3" width="22" style="2" bestFit="1" customWidth="1"/>
    <col min="4" max="17" width="21.42578125" style="2" bestFit="1" customWidth="1"/>
    <col min="18" max="18" width="21.85546875" style="2" bestFit="1" customWidth="1"/>
    <col min="19" max="26" width="21.42578125" style="2" bestFit="1" customWidth="1"/>
    <col min="27" max="27" width="22.28515625" style="2" bestFit="1" customWidth="1"/>
    <col min="28" max="28" width="23.7109375" style="2" bestFit="1" customWidth="1"/>
    <col min="29" max="58" width="21.42578125" style="2" bestFit="1" customWidth="1"/>
    <col min="59" max="59" width="22.7109375" style="2" bestFit="1" customWidth="1"/>
    <col min="60" max="60" width="22.42578125" style="2" bestFit="1" customWidth="1"/>
    <col min="61" max="61" width="21.5703125" style="2" bestFit="1" customWidth="1"/>
    <col min="62" max="62" width="25.85546875" style="2" bestFit="1" customWidth="1"/>
    <col min="63" max="64" width="21.42578125" style="2" bestFit="1" customWidth="1"/>
    <col min="65" max="65" width="24.85546875" style="2" bestFit="1" customWidth="1"/>
    <col min="66" max="66" width="11.42578125" style="2" bestFit="1" customWidth="1"/>
    <col min="67" max="67" width="24.42578125" style="2" customWidth="1"/>
    <col min="68" max="68" width="22.140625" style="2" customWidth="1"/>
    <col min="69" max="69" width="20.28515625" style="2" customWidth="1"/>
    <col min="70" max="70" width="22.85546875" style="2" customWidth="1"/>
    <col min="71" max="71" width="24.28515625" style="2" customWidth="1"/>
    <col min="72" max="72" width="20.42578125" style="2" customWidth="1"/>
    <col min="73" max="16384" width="9.140625" style="2"/>
  </cols>
  <sheetData>
    <row r="1" spans="1:72" s="3" customFormat="1" x14ac:dyDescent="0.25"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</row>
    <row r="2" spans="1:72" customFormat="1" x14ac:dyDescent="0.25">
      <c r="D2" t="s">
        <v>249</v>
      </c>
      <c r="S2" s="3"/>
      <c r="U2" s="3" t="s">
        <v>250</v>
      </c>
      <c r="AA2" s="3" t="s">
        <v>251</v>
      </c>
      <c r="AC2" s="3" t="s">
        <v>252</v>
      </c>
      <c r="AD2" s="3" t="s">
        <v>253</v>
      </c>
      <c r="AH2" s="3" t="s">
        <v>254</v>
      </c>
      <c r="AI2" s="3" t="s">
        <v>1013</v>
      </c>
      <c r="AO2" s="3" t="s">
        <v>255</v>
      </c>
      <c r="AW2" s="3" t="s">
        <v>256</v>
      </c>
      <c r="AX2" s="3" t="s">
        <v>257</v>
      </c>
      <c r="AY2" s="3" t="s">
        <v>258</v>
      </c>
      <c r="BL2" s="3" t="s">
        <v>259</v>
      </c>
      <c r="BO2" t="s">
        <v>1014</v>
      </c>
    </row>
    <row r="3" spans="1:72" s="1" customFormat="1" ht="75" x14ac:dyDescent="0.25">
      <c r="C3" s="1" t="s">
        <v>260</v>
      </c>
      <c r="D3" s="1" t="s">
        <v>261</v>
      </c>
      <c r="E3" s="1" t="s">
        <v>262</v>
      </c>
      <c r="F3" s="1" t="s">
        <v>263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  <c r="Y3" s="1" t="s">
        <v>282</v>
      </c>
      <c r="Z3" s="1" t="s">
        <v>283</v>
      </c>
      <c r="AA3" s="1" t="s">
        <v>284</v>
      </c>
      <c r="AB3" s="1" t="s">
        <v>285</v>
      </c>
      <c r="AC3" s="1" t="s">
        <v>286</v>
      </c>
      <c r="AD3" s="1" t="s">
        <v>287</v>
      </c>
      <c r="AE3" s="1" t="s">
        <v>288</v>
      </c>
      <c r="AF3" s="1" t="s">
        <v>289</v>
      </c>
      <c r="AG3" s="1" t="s">
        <v>290</v>
      </c>
      <c r="AH3" s="1" t="s">
        <v>254</v>
      </c>
      <c r="AI3" s="1" t="s">
        <v>291</v>
      </c>
      <c r="AJ3" s="1" t="s">
        <v>292</v>
      </c>
      <c r="AK3" s="1" t="s">
        <v>293</v>
      </c>
      <c r="AL3" s="1" t="s">
        <v>294</v>
      </c>
      <c r="AM3" s="1" t="s">
        <v>295</v>
      </c>
      <c r="AN3" s="1" t="s">
        <v>296</v>
      </c>
      <c r="AO3" s="1" t="s">
        <v>297</v>
      </c>
      <c r="AP3" s="1" t="s">
        <v>298</v>
      </c>
      <c r="AQ3" s="1" t="s">
        <v>299</v>
      </c>
      <c r="AR3" s="1" t="s">
        <v>300</v>
      </c>
      <c r="AS3" s="1" t="s">
        <v>301</v>
      </c>
      <c r="AT3" s="1" t="s">
        <v>302</v>
      </c>
      <c r="AU3" s="1" t="s">
        <v>303</v>
      </c>
      <c r="AV3" s="1" t="s">
        <v>304</v>
      </c>
      <c r="AW3" s="1" t="s">
        <v>305</v>
      </c>
      <c r="AX3" s="1" t="s">
        <v>306</v>
      </c>
      <c r="AY3" s="1" t="s">
        <v>307</v>
      </c>
      <c r="AZ3" s="1" t="s">
        <v>308</v>
      </c>
      <c r="BA3" s="1" t="s">
        <v>309</v>
      </c>
      <c r="BB3" s="1" t="s">
        <v>310</v>
      </c>
      <c r="BC3" s="1" t="s">
        <v>311</v>
      </c>
      <c r="BD3" s="1" t="s">
        <v>312</v>
      </c>
      <c r="BE3" s="1" t="s">
        <v>313</v>
      </c>
      <c r="BF3" s="1" t="s">
        <v>314</v>
      </c>
      <c r="BG3" s="1" t="s">
        <v>315</v>
      </c>
      <c r="BH3" s="1" t="s">
        <v>316</v>
      </c>
      <c r="BI3" s="1" t="s">
        <v>317</v>
      </c>
      <c r="BJ3" s="1" t="s">
        <v>318</v>
      </c>
      <c r="BK3" s="1" t="s">
        <v>319</v>
      </c>
      <c r="BL3" s="1" t="s">
        <v>259</v>
      </c>
      <c r="BM3" s="1" t="s">
        <v>320</v>
      </c>
      <c r="BO3" s="1" t="s">
        <v>321</v>
      </c>
      <c r="BP3" s="1" t="s">
        <v>322</v>
      </c>
      <c r="BQ3" s="1" t="s">
        <v>323</v>
      </c>
      <c r="BR3" s="1" t="s">
        <v>324</v>
      </c>
      <c r="BS3" s="1" t="s">
        <v>325</v>
      </c>
      <c r="BT3" s="1" t="s">
        <v>326</v>
      </c>
    </row>
    <row r="4" spans="1:72" s="5" customFormat="1" x14ac:dyDescent="0.25">
      <c r="C4" s="5">
        <f>+SUM(C5:C16)</f>
        <v>2229873516.8699999</v>
      </c>
      <c r="D4" s="5">
        <f t="shared" ref="D4:BO4" si="0">+SUM(D5:D16)</f>
        <v>13626884838.42</v>
      </c>
      <c r="E4" s="5">
        <f t="shared" si="0"/>
        <v>2239775868.48</v>
      </c>
      <c r="F4" s="5">
        <f t="shared" si="0"/>
        <v>5752796610.8500004</v>
      </c>
      <c r="G4" s="5">
        <f t="shared" si="0"/>
        <v>3341451020.6599998</v>
      </c>
      <c r="H4" s="5">
        <f t="shared" si="0"/>
        <v>443029080.63999999</v>
      </c>
      <c r="I4" s="5">
        <f t="shared" si="0"/>
        <v>219574422.59</v>
      </c>
      <c r="J4" s="5">
        <f t="shared" si="0"/>
        <v>775702954.95000005</v>
      </c>
      <c r="K4" s="5">
        <f t="shared" si="0"/>
        <v>14264814</v>
      </c>
      <c r="L4" s="5">
        <f t="shared" si="0"/>
        <v>10124824713.540001</v>
      </c>
      <c r="M4" s="5">
        <f t="shared" si="0"/>
        <v>42535234</v>
      </c>
      <c r="N4" s="5">
        <f t="shared" si="0"/>
        <v>39982058</v>
      </c>
      <c r="O4" s="5">
        <f t="shared" si="0"/>
        <v>4394368029.3000002</v>
      </c>
      <c r="P4" s="5">
        <f t="shared" si="0"/>
        <v>6418072</v>
      </c>
      <c r="Q4" s="5">
        <f t="shared" si="0"/>
        <v>586399513.5</v>
      </c>
      <c r="R4" s="5">
        <f t="shared" si="0"/>
        <v>5605848.4000000004</v>
      </c>
      <c r="S4" s="5">
        <f t="shared" si="0"/>
        <v>7500000</v>
      </c>
      <c r="T4" s="5">
        <f t="shared" si="0"/>
        <v>972320000</v>
      </c>
      <c r="U4" s="5">
        <f t="shared" si="0"/>
        <v>6213984</v>
      </c>
      <c r="V4" s="5">
        <f t="shared" si="0"/>
        <v>4438560</v>
      </c>
      <c r="W4" s="5">
        <f t="shared" si="0"/>
        <v>10105704.82</v>
      </c>
      <c r="X4" s="5">
        <f t="shared" si="0"/>
        <v>6168029</v>
      </c>
      <c r="Y4" s="5">
        <f t="shared" si="0"/>
        <v>217367700</v>
      </c>
      <c r="Z4" s="5">
        <f t="shared" si="0"/>
        <v>1449506815</v>
      </c>
      <c r="AA4" s="5">
        <f t="shared" si="0"/>
        <v>8299236.7200000007</v>
      </c>
      <c r="AB4" s="5">
        <f t="shared" si="0"/>
        <v>22436400</v>
      </c>
      <c r="AC4" s="5">
        <f t="shared" si="0"/>
        <v>2894419392</v>
      </c>
      <c r="AD4" s="5">
        <f t="shared" si="0"/>
        <v>6556976.5300000003</v>
      </c>
      <c r="AE4" s="5">
        <f t="shared" si="0"/>
        <v>59775215</v>
      </c>
      <c r="AF4" s="5">
        <f t="shared" si="0"/>
        <v>6176318.4000000004</v>
      </c>
      <c r="AG4" s="5">
        <f t="shared" si="0"/>
        <v>1339118</v>
      </c>
      <c r="AH4" s="5">
        <f t="shared" si="0"/>
        <v>1307758781.0599999</v>
      </c>
      <c r="AI4" s="5">
        <f t="shared" si="0"/>
        <v>22297158.84</v>
      </c>
      <c r="AJ4" s="5">
        <f t="shared" si="0"/>
        <v>169532777.80000001</v>
      </c>
      <c r="AK4" s="5">
        <f t="shared" si="0"/>
        <v>58561716</v>
      </c>
      <c r="AL4" s="5">
        <f t="shared" si="0"/>
        <v>12087400</v>
      </c>
      <c r="AM4" s="5">
        <f t="shared" si="0"/>
        <v>10385465</v>
      </c>
      <c r="AN4" s="5">
        <f t="shared" si="0"/>
        <v>1546268</v>
      </c>
      <c r="AO4" s="5">
        <f t="shared" si="0"/>
        <v>9811956</v>
      </c>
      <c r="AP4" s="5">
        <f t="shared" si="0"/>
        <v>1010484</v>
      </c>
      <c r="AQ4" s="5">
        <f t="shared" si="0"/>
        <v>2382240</v>
      </c>
      <c r="AR4" s="5">
        <f t="shared" si="0"/>
        <v>324336</v>
      </c>
      <c r="AS4" s="5">
        <f t="shared" si="0"/>
        <v>4539242</v>
      </c>
      <c r="AT4" s="5">
        <f t="shared" si="0"/>
        <v>7492100</v>
      </c>
      <c r="AU4" s="5">
        <f t="shared" si="0"/>
        <v>288000</v>
      </c>
      <c r="AV4" s="5">
        <f t="shared" si="0"/>
        <v>4608000</v>
      </c>
      <c r="AW4" s="5">
        <f t="shared" si="0"/>
        <v>3680000</v>
      </c>
      <c r="AX4" s="5">
        <f t="shared" si="0"/>
        <v>15147379.630000001</v>
      </c>
      <c r="AY4" s="5">
        <f t="shared" si="0"/>
        <v>1112835073.9999998</v>
      </c>
      <c r="AZ4" s="5">
        <f t="shared" si="0"/>
        <v>18160164.260000002</v>
      </c>
      <c r="BA4" s="5">
        <f t="shared" si="0"/>
        <v>23715141.590000004</v>
      </c>
      <c r="BB4" s="5">
        <f t="shared" si="0"/>
        <v>6742485.4699999997</v>
      </c>
      <c r="BC4" s="5">
        <f t="shared" si="0"/>
        <v>605066024.63</v>
      </c>
      <c r="BD4" s="5">
        <f t="shared" si="0"/>
        <v>25265317.420000006</v>
      </c>
      <c r="BE4" s="5">
        <f t="shared" si="0"/>
        <v>15157996.200000001</v>
      </c>
      <c r="BF4" s="5">
        <f t="shared" si="0"/>
        <v>625434210.25</v>
      </c>
      <c r="BG4" s="5">
        <f t="shared" si="0"/>
        <v>23892241.630000003</v>
      </c>
      <c r="BH4" s="5">
        <f t="shared" si="0"/>
        <v>9818761.3300000019</v>
      </c>
      <c r="BI4" s="5">
        <f t="shared" si="0"/>
        <v>201535196.26999998</v>
      </c>
      <c r="BJ4" s="5">
        <f t="shared" si="0"/>
        <v>12122125.189999999</v>
      </c>
      <c r="BK4" s="5">
        <f t="shared" si="0"/>
        <v>112046045.55</v>
      </c>
      <c r="BL4" s="5">
        <f t="shared" si="0"/>
        <v>5087525.4399999995</v>
      </c>
      <c r="BM4" s="5">
        <f t="shared" si="0"/>
        <v>166834.72</v>
      </c>
      <c r="BO4" s="5">
        <f t="shared" si="0"/>
        <v>473076143.98000002</v>
      </c>
      <c r="BP4" s="5">
        <f t="shared" ref="BP4:BT4" si="1">+SUM(BP5:BP16)</f>
        <v>264682</v>
      </c>
      <c r="BQ4" s="5">
        <f t="shared" si="1"/>
        <v>313045628.23000002</v>
      </c>
      <c r="BR4" s="5">
        <f t="shared" si="1"/>
        <v>67070</v>
      </c>
      <c r="BS4" s="5">
        <f t="shared" si="1"/>
        <v>315000</v>
      </c>
      <c r="BT4" s="5">
        <f t="shared" si="1"/>
        <v>6170550</v>
      </c>
    </row>
    <row r="5" spans="1:72" x14ac:dyDescent="0.25">
      <c r="A5" s="2" t="s">
        <v>70</v>
      </c>
      <c r="B5" s="6"/>
      <c r="C5" s="2">
        <v>200646833.62</v>
      </c>
      <c r="D5" s="2">
        <v>1175099737.98</v>
      </c>
      <c r="E5" s="2">
        <v>197026430.94999999</v>
      </c>
      <c r="F5" s="2">
        <v>500815321.00999999</v>
      </c>
      <c r="G5" s="2">
        <v>184844459.99000001</v>
      </c>
      <c r="H5" s="2">
        <v>42456601.920000002</v>
      </c>
      <c r="I5" s="2">
        <v>27898996.010000002</v>
      </c>
      <c r="J5" s="2">
        <v>17428010.289999999</v>
      </c>
      <c r="N5" s="2">
        <v>23334696</v>
      </c>
      <c r="O5" s="2">
        <v>260268510.5</v>
      </c>
      <c r="Q5" s="2">
        <v>47393227.039999999</v>
      </c>
      <c r="R5" s="2">
        <v>1386000</v>
      </c>
      <c r="U5" s="2">
        <v>509600</v>
      </c>
      <c r="V5" s="2">
        <v>364000</v>
      </c>
      <c r="W5" s="2">
        <v>915035.9</v>
      </c>
      <c r="Y5" s="2">
        <v>45643500</v>
      </c>
      <c r="Z5" s="2">
        <v>112262017.5</v>
      </c>
      <c r="AA5" s="2">
        <v>1021741.62</v>
      </c>
      <c r="AC5" s="2">
        <v>231497376</v>
      </c>
      <c r="AH5" s="2">
        <v>128580673.98</v>
      </c>
      <c r="AI5" s="2">
        <v>1452026.61</v>
      </c>
      <c r="AJ5" s="2">
        <v>871220</v>
      </c>
      <c r="AK5" s="2">
        <v>1669750</v>
      </c>
      <c r="AL5" s="2">
        <v>280720</v>
      </c>
      <c r="AM5" s="2">
        <v>1371700</v>
      </c>
      <c r="AO5" s="2">
        <v>633586</v>
      </c>
      <c r="AP5" s="2">
        <v>84207</v>
      </c>
      <c r="AQ5" s="2">
        <v>174540</v>
      </c>
      <c r="AR5" s="2">
        <v>27028</v>
      </c>
      <c r="AS5" s="2">
        <v>203253</v>
      </c>
      <c r="AT5" s="2">
        <v>447000</v>
      </c>
      <c r="AU5" s="2">
        <v>24000</v>
      </c>
      <c r="AV5" s="2">
        <v>384000</v>
      </c>
      <c r="AX5" s="2">
        <v>1076445</v>
      </c>
      <c r="AY5" s="2">
        <v>11993160.960000001</v>
      </c>
      <c r="BC5" s="2">
        <v>36083436</v>
      </c>
      <c r="BE5" s="2">
        <v>1380030.06</v>
      </c>
      <c r="BK5" s="2">
        <v>6017830.6500000004</v>
      </c>
      <c r="BM5" s="2">
        <v>15524.02</v>
      </c>
      <c r="BO5" s="2">
        <v>37446300.640000001</v>
      </c>
      <c r="BP5" s="2">
        <v>21677</v>
      </c>
      <c r="BQ5" s="2">
        <v>23533250.550000001</v>
      </c>
      <c r="BR5" s="2">
        <v>3530</v>
      </c>
      <c r="BS5" s="2">
        <v>65000</v>
      </c>
    </row>
    <row r="6" spans="1:72" x14ac:dyDescent="0.25">
      <c r="A6" s="2" t="s">
        <v>71</v>
      </c>
      <c r="C6" s="2">
        <v>328726257.89999998</v>
      </c>
      <c r="D6" s="2">
        <v>1100655999.6500001</v>
      </c>
      <c r="E6" s="2">
        <v>178150462.31</v>
      </c>
      <c r="F6" s="2">
        <v>465315504.91999996</v>
      </c>
      <c r="G6" s="2">
        <v>75501651.189999998</v>
      </c>
      <c r="H6" s="2">
        <v>71021960.179999992</v>
      </c>
      <c r="I6" s="2">
        <v>50833173.599999994</v>
      </c>
      <c r="J6" s="2">
        <v>64236565.610000007</v>
      </c>
      <c r="O6" s="2">
        <v>240685838.10000002</v>
      </c>
      <c r="Q6" s="2">
        <v>46234423.580000006</v>
      </c>
      <c r="R6" s="2">
        <v>1386000</v>
      </c>
      <c r="S6" s="2">
        <v>3750000</v>
      </c>
      <c r="U6" s="2">
        <v>567616</v>
      </c>
      <c r="V6" s="2">
        <v>405440</v>
      </c>
      <c r="W6" s="2">
        <v>725579.12</v>
      </c>
      <c r="Y6" s="2">
        <v>44343000</v>
      </c>
      <c r="Z6" s="2">
        <v>117915142.5</v>
      </c>
      <c r="AA6" s="2">
        <v>317520.00000000012</v>
      </c>
      <c r="AC6" s="2">
        <v>231497376</v>
      </c>
      <c r="AD6" s="2">
        <v>1147999</v>
      </c>
      <c r="AF6" s="2">
        <v>248175</v>
      </c>
      <c r="AG6" s="2">
        <v>112500</v>
      </c>
      <c r="AH6" s="2">
        <v>61984623.299999997</v>
      </c>
      <c r="AI6" s="2">
        <v>1579831.7499999998</v>
      </c>
      <c r="AJ6" s="2">
        <v>222088</v>
      </c>
      <c r="AK6" s="2">
        <v>7459735</v>
      </c>
      <c r="AL6" s="2">
        <v>0</v>
      </c>
      <c r="AM6" s="2">
        <v>29888</v>
      </c>
      <c r="AO6" s="2">
        <v>783348</v>
      </c>
      <c r="AP6" s="2">
        <v>84207</v>
      </c>
      <c r="AQ6" s="2">
        <v>200700</v>
      </c>
      <c r="AR6" s="2">
        <v>27028</v>
      </c>
      <c r="AS6" s="2">
        <v>257027</v>
      </c>
      <c r="AT6" s="2">
        <v>415200</v>
      </c>
      <c r="AU6" s="2">
        <v>24000</v>
      </c>
      <c r="AV6" s="2">
        <v>384000</v>
      </c>
      <c r="AW6" s="2">
        <v>840000</v>
      </c>
      <c r="AX6" s="2">
        <v>1585090.37</v>
      </c>
      <c r="AY6" s="2">
        <v>11993160.960000001</v>
      </c>
      <c r="BC6" s="2">
        <v>36002928.469999999</v>
      </c>
      <c r="BE6" s="2">
        <v>1380030.06</v>
      </c>
      <c r="BK6" s="2">
        <v>6017830.6500000004</v>
      </c>
      <c r="BO6" s="2">
        <v>48998715.829999998</v>
      </c>
      <c r="BP6" s="2">
        <v>25811</v>
      </c>
      <c r="BQ6" s="2">
        <v>19919239.109999996</v>
      </c>
      <c r="BR6" s="2">
        <v>3530</v>
      </c>
      <c r="BS6" s="2">
        <v>10000</v>
      </c>
    </row>
    <row r="7" spans="1:72" x14ac:dyDescent="0.25">
      <c r="A7" s="2" t="s">
        <v>72</v>
      </c>
      <c r="B7" s="7"/>
      <c r="C7" s="2">
        <v>145194517.94000006</v>
      </c>
      <c r="D7" s="2">
        <v>1167819231.6700001</v>
      </c>
      <c r="E7" s="2">
        <v>185075148.51999998</v>
      </c>
      <c r="F7" s="2">
        <v>496512631.81000006</v>
      </c>
      <c r="G7" s="2">
        <v>110970012.48000002</v>
      </c>
      <c r="H7" s="2">
        <v>6277134.1000000089</v>
      </c>
      <c r="I7" s="2">
        <v>9442646.8000000007</v>
      </c>
      <c r="J7" s="2">
        <v>27057634.399999984</v>
      </c>
      <c r="L7" s="2">
        <v>3222586441.5500002</v>
      </c>
      <c r="M7" s="2">
        <v>5562480</v>
      </c>
      <c r="O7" s="2">
        <v>627756403.36000001</v>
      </c>
      <c r="P7" s="2">
        <v>450000</v>
      </c>
      <c r="Q7" s="2">
        <v>41686991.100000001</v>
      </c>
      <c r="R7" s="2">
        <v>916548.39999999991</v>
      </c>
      <c r="U7" s="2">
        <v>569184</v>
      </c>
      <c r="V7" s="2">
        <v>406560</v>
      </c>
      <c r="W7" s="2">
        <v>241859.70999999996</v>
      </c>
      <c r="Y7" s="2">
        <v>37311000</v>
      </c>
      <c r="Z7" s="2">
        <v>106030012.5</v>
      </c>
      <c r="AA7" s="2">
        <v>317520</v>
      </c>
      <c r="AC7" s="2">
        <v>231497376</v>
      </c>
      <c r="AH7" s="2">
        <v>105123459.09999998</v>
      </c>
      <c r="AI7" s="2">
        <v>1042831.4900000005</v>
      </c>
      <c r="AJ7" s="2">
        <v>1379934</v>
      </c>
      <c r="AK7" s="2">
        <v>3430000</v>
      </c>
      <c r="AL7" s="2">
        <v>280720</v>
      </c>
      <c r="AM7" s="2">
        <v>896925</v>
      </c>
      <c r="AO7" s="2">
        <v>780630</v>
      </c>
      <c r="AP7" s="2">
        <v>84207</v>
      </c>
      <c r="AQ7" s="2">
        <v>200700</v>
      </c>
      <c r="AR7" s="2">
        <v>27028</v>
      </c>
      <c r="AS7" s="2">
        <v>382102</v>
      </c>
      <c r="AT7" s="2">
        <v>392200</v>
      </c>
      <c r="AU7" s="2">
        <v>24000</v>
      </c>
      <c r="AV7" s="2">
        <v>384000</v>
      </c>
      <c r="AX7" s="2">
        <v>1227418.33</v>
      </c>
      <c r="AY7" s="2">
        <v>11993160.960000001</v>
      </c>
      <c r="BC7" s="2">
        <v>35990771.909999996</v>
      </c>
      <c r="BE7" s="2">
        <v>1380030.06</v>
      </c>
      <c r="BK7" s="2">
        <v>6017830.6499999985</v>
      </c>
      <c r="BM7" s="2">
        <v>10000</v>
      </c>
      <c r="BO7" s="2">
        <v>48532367.819999993</v>
      </c>
      <c r="BP7" s="2">
        <v>20670</v>
      </c>
      <c r="BQ7" s="2">
        <v>20717337.060000002</v>
      </c>
      <c r="BR7" s="2">
        <v>14120</v>
      </c>
      <c r="BS7" s="2">
        <v>40000</v>
      </c>
    </row>
    <row r="8" spans="1:72" x14ac:dyDescent="0.25">
      <c r="A8" s="2" t="s">
        <v>73</v>
      </c>
      <c r="C8" s="2">
        <v>227754576.74000001</v>
      </c>
      <c r="D8" s="2">
        <v>1117508038.9099998</v>
      </c>
      <c r="E8" s="2">
        <v>189276598.02999991</v>
      </c>
      <c r="F8" s="2">
        <v>473110904.05999994</v>
      </c>
      <c r="G8" s="2">
        <v>358363941.33999997</v>
      </c>
      <c r="H8" s="2">
        <v>0</v>
      </c>
      <c r="I8" s="2">
        <v>0</v>
      </c>
      <c r="J8" s="2">
        <v>73656546.130000025</v>
      </c>
      <c r="N8" s="2">
        <v>12962912</v>
      </c>
      <c r="O8" s="2">
        <v>266985472.8599999</v>
      </c>
      <c r="Q8" s="2">
        <v>57814961.449999981</v>
      </c>
      <c r="R8" s="2">
        <v>693000.00000000047</v>
      </c>
      <c r="U8" s="2">
        <v>0</v>
      </c>
      <c r="V8" s="2">
        <v>0</v>
      </c>
      <c r="W8" s="2">
        <v>786044.06000000017</v>
      </c>
      <c r="Y8" s="2">
        <v>24039000</v>
      </c>
      <c r="Z8" s="2">
        <v>105794842.5</v>
      </c>
      <c r="AA8" s="2">
        <v>742520.02</v>
      </c>
      <c r="AC8" s="2">
        <v>231497376</v>
      </c>
      <c r="AH8" s="2">
        <v>112911462.59000002</v>
      </c>
      <c r="AI8" s="2">
        <v>2446832.0799999991</v>
      </c>
      <c r="AJ8" s="2">
        <v>601832</v>
      </c>
      <c r="AK8" s="2">
        <v>4569803</v>
      </c>
      <c r="AL8" s="2">
        <v>4932160</v>
      </c>
      <c r="AM8" s="2">
        <v>761600</v>
      </c>
      <c r="AN8" s="2">
        <v>1546268</v>
      </c>
      <c r="AO8" s="2">
        <v>831300</v>
      </c>
      <c r="AP8" s="2">
        <v>84207</v>
      </c>
      <c r="AQ8" s="2">
        <v>200700</v>
      </c>
      <c r="AR8" s="2">
        <v>27028</v>
      </c>
      <c r="AS8" s="2">
        <v>250150</v>
      </c>
      <c r="AT8" s="2">
        <v>684200</v>
      </c>
      <c r="AU8" s="2">
        <v>24000</v>
      </c>
      <c r="AV8" s="2">
        <v>384000</v>
      </c>
      <c r="AW8" s="2">
        <v>1020000</v>
      </c>
      <c r="AX8" s="2">
        <v>1439079.29</v>
      </c>
      <c r="AY8" s="2">
        <v>11993160.960000001</v>
      </c>
      <c r="BC8" s="2">
        <v>35990771.909999996</v>
      </c>
      <c r="BE8" s="2">
        <v>1380030.06</v>
      </c>
      <c r="BK8" s="2">
        <v>6017830.6500000041</v>
      </c>
      <c r="BO8" s="2">
        <v>24904030.870000005</v>
      </c>
      <c r="BP8" s="2">
        <v>18285</v>
      </c>
      <c r="BQ8" s="2">
        <v>22702226.859999999</v>
      </c>
      <c r="BR8" s="2">
        <v>10590</v>
      </c>
      <c r="BS8" s="2">
        <v>0</v>
      </c>
      <c r="BT8" s="2">
        <v>0</v>
      </c>
    </row>
    <row r="9" spans="1:72" x14ac:dyDescent="0.25">
      <c r="A9" s="2" t="s">
        <v>74</v>
      </c>
      <c r="B9" s="7"/>
      <c r="C9" s="2">
        <v>169649800</v>
      </c>
      <c r="D9" s="2">
        <v>1075191855.4099998</v>
      </c>
      <c r="E9" s="2">
        <v>173315397.21000004</v>
      </c>
      <c r="F9" s="2">
        <v>445581826.83999991</v>
      </c>
      <c r="G9" s="2">
        <v>304560264.77999997</v>
      </c>
      <c r="H9" s="2">
        <v>70618226.059999987</v>
      </c>
      <c r="I9" s="2">
        <v>0</v>
      </c>
      <c r="J9" s="2">
        <v>75625572.030000001</v>
      </c>
      <c r="L9" s="2">
        <v>1098150772.6999998</v>
      </c>
      <c r="O9" s="2">
        <v>389165269.79999995</v>
      </c>
      <c r="P9" s="2">
        <v>2045832</v>
      </c>
      <c r="Q9" s="2">
        <v>96904833.890000015</v>
      </c>
      <c r="R9" s="2">
        <v>693000</v>
      </c>
      <c r="U9" s="2">
        <v>577024</v>
      </c>
      <c r="V9" s="2">
        <v>412160</v>
      </c>
      <c r="W9" s="2">
        <v>362789.56000000006</v>
      </c>
      <c r="X9" s="2">
        <v>1542006</v>
      </c>
      <c r="Y9" s="2">
        <v>0</v>
      </c>
      <c r="Z9" s="2">
        <v>107424450</v>
      </c>
      <c r="AA9" s="2">
        <v>317520</v>
      </c>
      <c r="AB9" s="2">
        <v>1056000</v>
      </c>
      <c r="AC9" s="2">
        <v>231497376</v>
      </c>
      <c r="AF9" s="2">
        <v>4304325</v>
      </c>
      <c r="AH9" s="2">
        <v>123299902.41999996</v>
      </c>
      <c r="AI9" s="2">
        <v>489027.93000000063</v>
      </c>
      <c r="AJ9" s="2">
        <v>4661600</v>
      </c>
      <c r="AK9" s="2">
        <v>4143065</v>
      </c>
      <c r="AL9" s="2">
        <v>0</v>
      </c>
      <c r="AM9" s="2">
        <v>1489600</v>
      </c>
      <c r="AN9" s="2">
        <v>0</v>
      </c>
      <c r="AO9" s="2">
        <v>823984</v>
      </c>
      <c r="AP9" s="2">
        <v>84207</v>
      </c>
      <c r="AQ9" s="2">
        <v>200700</v>
      </c>
      <c r="AR9" s="2">
        <v>27028</v>
      </c>
      <c r="AS9" s="2">
        <v>125126</v>
      </c>
      <c r="AT9" s="2">
        <v>822800</v>
      </c>
      <c r="AU9" s="2">
        <v>24000</v>
      </c>
      <c r="AV9" s="2">
        <v>384000</v>
      </c>
      <c r="AW9" s="2">
        <v>0</v>
      </c>
      <c r="AX9" s="2">
        <v>2454836.66</v>
      </c>
      <c r="AY9" s="2">
        <v>11993160.959999993</v>
      </c>
      <c r="BC9" s="2">
        <v>35957771.909999996</v>
      </c>
      <c r="BE9" s="2">
        <v>1380030.06</v>
      </c>
      <c r="BK9" s="2">
        <v>6017830.6499999985</v>
      </c>
      <c r="BM9" s="2">
        <v>12901.359999999997</v>
      </c>
      <c r="BO9" s="2">
        <v>34640660.349999994</v>
      </c>
      <c r="BP9" s="2">
        <v>22472</v>
      </c>
      <c r="BQ9" s="2">
        <v>25855203.100000009</v>
      </c>
      <c r="BR9" s="2">
        <v>0</v>
      </c>
      <c r="BS9" s="2">
        <v>0</v>
      </c>
      <c r="BT9" s="2">
        <v>0</v>
      </c>
    </row>
    <row r="10" spans="1:72" x14ac:dyDescent="0.25">
      <c r="A10" s="2" t="s">
        <v>75</v>
      </c>
      <c r="B10" s="4"/>
      <c r="C10" s="2">
        <v>100008224.79999995</v>
      </c>
      <c r="D10" s="2">
        <v>1088917672.9000006</v>
      </c>
      <c r="E10" s="2">
        <v>175334825.92000008</v>
      </c>
      <c r="F10" s="2">
        <v>457147216.57999992</v>
      </c>
      <c r="G10" s="2">
        <v>285455599.43000007</v>
      </c>
      <c r="H10" s="2">
        <v>0</v>
      </c>
      <c r="I10" s="2">
        <v>0</v>
      </c>
      <c r="J10" s="2">
        <v>73467630.729999989</v>
      </c>
      <c r="L10" s="2">
        <v>1098150772.6999998</v>
      </c>
      <c r="O10" s="2">
        <v>381416846.19000006</v>
      </c>
      <c r="Q10" s="2">
        <v>61555738.100000024</v>
      </c>
      <c r="R10" s="2">
        <v>531300</v>
      </c>
      <c r="U10" s="2">
        <v>500192</v>
      </c>
      <c r="V10" s="2">
        <v>357280</v>
      </c>
      <c r="W10" s="2">
        <v>1179066.0799999996</v>
      </c>
      <c r="Y10" s="2">
        <v>0</v>
      </c>
      <c r="Z10" s="2">
        <v>126092325</v>
      </c>
      <c r="AA10" s="2">
        <v>821520</v>
      </c>
      <c r="AC10" s="2">
        <v>0</v>
      </c>
      <c r="AH10" s="2">
        <v>82190293.789999962</v>
      </c>
      <c r="AI10" s="2">
        <v>1952475.2499999991</v>
      </c>
      <c r="AJ10" s="2">
        <v>928710</v>
      </c>
      <c r="AK10" s="2">
        <v>4599548</v>
      </c>
      <c r="AL10" s="2">
        <v>842160</v>
      </c>
      <c r="AM10" s="2">
        <v>0</v>
      </c>
      <c r="AN10" s="2">
        <v>0</v>
      </c>
      <c r="AO10" s="2">
        <v>828664</v>
      </c>
      <c r="AP10" s="2">
        <v>0</v>
      </c>
      <c r="AQ10" s="2">
        <v>200700</v>
      </c>
      <c r="AR10" s="2">
        <v>27028</v>
      </c>
      <c r="AS10" s="2">
        <v>250453</v>
      </c>
      <c r="AT10" s="2">
        <v>641600</v>
      </c>
      <c r="AU10" s="2">
        <v>24000</v>
      </c>
      <c r="AV10" s="2">
        <v>384000</v>
      </c>
      <c r="AW10" s="2">
        <v>370000</v>
      </c>
      <c r="AX10" s="2">
        <v>0</v>
      </c>
      <c r="AY10" s="2">
        <v>11993160.960000008</v>
      </c>
      <c r="BC10" s="2">
        <v>35957771.910000026</v>
      </c>
      <c r="BE10" s="2">
        <v>1380030.0599999996</v>
      </c>
      <c r="BK10" s="2">
        <v>6684497.3200000003</v>
      </c>
      <c r="BL10" s="2">
        <v>1487525.44</v>
      </c>
      <c r="BM10" s="2">
        <v>10790.39</v>
      </c>
      <c r="BO10" s="2">
        <v>37875332.909999996</v>
      </c>
      <c r="BP10" s="2">
        <v>22737</v>
      </c>
      <c r="BQ10" s="2">
        <v>25808585.849999994</v>
      </c>
      <c r="BR10" s="2">
        <v>0</v>
      </c>
      <c r="BS10" s="2">
        <v>100000</v>
      </c>
    </row>
    <row r="11" spans="1:72" x14ac:dyDescent="0.25">
      <c r="A11" s="2" t="s">
        <v>76</v>
      </c>
      <c r="C11" s="2">
        <v>258220113.58999991</v>
      </c>
      <c r="D11" s="2">
        <v>1083916976.6499996</v>
      </c>
      <c r="E11" s="2">
        <v>178053272.50999999</v>
      </c>
      <c r="F11" s="2">
        <v>457227136.6500001</v>
      </c>
      <c r="G11" s="2">
        <v>365426494.38999987</v>
      </c>
      <c r="H11" s="2">
        <v>0</v>
      </c>
      <c r="I11" s="2">
        <v>2446464.2300000042</v>
      </c>
      <c r="J11" s="2">
        <v>83620389.730000019</v>
      </c>
      <c r="L11" s="2">
        <v>0</v>
      </c>
      <c r="N11" s="2">
        <v>3684450</v>
      </c>
      <c r="O11" s="2">
        <v>260925022.0999999</v>
      </c>
      <c r="Q11" s="2">
        <v>63592624.279999971</v>
      </c>
      <c r="R11" s="2">
        <v>0</v>
      </c>
      <c r="S11" s="2">
        <v>3750000</v>
      </c>
      <c r="U11" s="2">
        <v>885920</v>
      </c>
      <c r="V11" s="2">
        <v>632800</v>
      </c>
      <c r="W11" s="2">
        <v>695346.66000000015</v>
      </c>
      <c r="X11" s="2">
        <v>771004</v>
      </c>
      <c r="Y11" s="2">
        <v>0</v>
      </c>
      <c r="Z11" s="2">
        <v>122208000</v>
      </c>
      <c r="AA11" s="2">
        <v>1257920.0299999998</v>
      </c>
      <c r="AB11" s="2">
        <v>0</v>
      </c>
      <c r="AC11" s="2">
        <f>1620481632-SUM(AC5:AC10)</f>
        <v>462994752</v>
      </c>
      <c r="AD11" s="2">
        <v>2078006</v>
      </c>
      <c r="AE11" s="2">
        <v>9275000</v>
      </c>
      <c r="AF11" s="2">
        <v>159900</v>
      </c>
      <c r="AG11" s="2">
        <v>112500</v>
      </c>
      <c r="AH11" s="2">
        <v>0</v>
      </c>
      <c r="AI11" s="2">
        <v>590247.95000000112</v>
      </c>
      <c r="AJ11" s="2">
        <v>1668155</v>
      </c>
      <c r="AK11" s="2">
        <v>4837500</v>
      </c>
      <c r="AL11" s="2">
        <v>0</v>
      </c>
      <c r="AM11" s="2">
        <v>863876</v>
      </c>
      <c r="AN11" s="2">
        <v>0</v>
      </c>
      <c r="AO11" s="2">
        <v>897108</v>
      </c>
      <c r="AP11" s="2">
        <v>168414</v>
      </c>
      <c r="AQ11" s="2">
        <v>200700</v>
      </c>
      <c r="AR11" s="2">
        <v>27028</v>
      </c>
      <c r="AS11" s="2">
        <v>388979</v>
      </c>
      <c r="AT11" s="2">
        <v>791200</v>
      </c>
      <c r="AU11" s="2">
        <v>24000</v>
      </c>
      <c r="AV11" s="2">
        <v>384000</v>
      </c>
      <c r="AW11" s="2">
        <v>0</v>
      </c>
      <c r="AX11" s="2">
        <v>1227418.33</v>
      </c>
      <c r="AY11" s="2">
        <v>288826630.24000001</v>
      </c>
      <c r="AZ11" s="2">
        <v>5188618.3600000003</v>
      </c>
      <c r="BA11" s="2">
        <v>6775754.7400000002</v>
      </c>
      <c r="BB11" s="2">
        <v>1926424.42</v>
      </c>
      <c r="BC11" s="2">
        <v>85576116.00999999</v>
      </c>
      <c r="BD11" s="2">
        <v>7218662.1200000001</v>
      </c>
      <c r="BE11" s="2">
        <v>1339520.54</v>
      </c>
      <c r="BF11" s="2">
        <v>178552862.5</v>
      </c>
      <c r="BG11" s="2">
        <v>6826354.7599999998</v>
      </c>
      <c r="BH11" s="2">
        <v>2805360.38</v>
      </c>
      <c r="BI11" s="2">
        <v>57581484.659999996</v>
      </c>
      <c r="BJ11" s="2">
        <v>3463464.34</v>
      </c>
      <c r="BK11" s="2">
        <v>6684497.3200000003</v>
      </c>
      <c r="BM11" s="2">
        <v>18610.000000000007</v>
      </c>
      <c r="BO11" s="2">
        <v>36657711.270000011</v>
      </c>
      <c r="BP11" s="2">
        <v>19822</v>
      </c>
      <c r="BQ11" s="2">
        <v>30177945.849999994</v>
      </c>
      <c r="BR11" s="2">
        <v>10590</v>
      </c>
      <c r="BS11" s="2">
        <v>100000</v>
      </c>
    </row>
    <row r="12" spans="1:72" x14ac:dyDescent="0.25">
      <c r="A12" s="2" t="s">
        <v>77</v>
      </c>
      <c r="C12" s="2">
        <v>189540544.70000005</v>
      </c>
      <c r="D12" s="2">
        <v>1099984586.0699997</v>
      </c>
      <c r="E12" s="2">
        <v>182510654.57999992</v>
      </c>
      <c r="F12" s="2">
        <v>469531762.05999994</v>
      </c>
      <c r="G12" s="2">
        <v>582727175.07999992</v>
      </c>
      <c r="H12" s="2">
        <v>0</v>
      </c>
      <c r="I12" s="2">
        <v>20464760</v>
      </c>
      <c r="J12" s="2">
        <v>146786865.43000001</v>
      </c>
      <c r="K12" s="2">
        <v>14264814</v>
      </c>
      <c r="L12" s="2">
        <v>1180231709.7300005</v>
      </c>
      <c r="O12" s="2">
        <v>443580279.23000002</v>
      </c>
      <c r="Q12" s="2">
        <v>27014136.449999988</v>
      </c>
      <c r="R12" s="2">
        <v>0</v>
      </c>
      <c r="S12" s="2">
        <v>0</v>
      </c>
      <c r="U12" s="2">
        <v>617792</v>
      </c>
      <c r="V12" s="2">
        <v>441280</v>
      </c>
      <c r="W12" s="2">
        <v>1098446.17</v>
      </c>
      <c r="X12" s="2">
        <v>771004</v>
      </c>
      <c r="Y12" s="2">
        <v>0</v>
      </c>
      <c r="Z12" s="2">
        <v>139529050</v>
      </c>
      <c r="AA12" s="2">
        <v>317520</v>
      </c>
      <c r="AB12" s="2">
        <v>5530400</v>
      </c>
      <c r="AC12" s="2">
        <v>254787552</v>
      </c>
      <c r="AD12" s="2">
        <v>0</v>
      </c>
      <c r="AE12" s="2">
        <v>8625000</v>
      </c>
      <c r="AH12" s="2">
        <v>192055637.12</v>
      </c>
      <c r="AI12" s="2">
        <v>6589726.6399999987</v>
      </c>
      <c r="AJ12" s="2">
        <v>1870509.7200000007</v>
      </c>
      <c r="AK12" s="2">
        <v>4491660</v>
      </c>
      <c r="AL12" s="2">
        <v>0</v>
      </c>
      <c r="AM12" s="2">
        <v>198000</v>
      </c>
      <c r="AO12" s="2">
        <v>918408</v>
      </c>
      <c r="AP12" s="2">
        <v>84207</v>
      </c>
      <c r="AQ12" s="2">
        <v>200700</v>
      </c>
      <c r="AR12" s="2">
        <v>27028</v>
      </c>
      <c r="AS12" s="2">
        <v>500504</v>
      </c>
      <c r="AT12" s="2">
        <v>539400</v>
      </c>
      <c r="AU12" s="2">
        <v>24000</v>
      </c>
      <c r="AV12" s="2">
        <v>384000</v>
      </c>
      <c r="AW12" s="2">
        <v>200000</v>
      </c>
      <c r="AX12" s="2">
        <v>1227418.33</v>
      </c>
      <c r="AY12" s="2">
        <v>150409895.60000002</v>
      </c>
      <c r="AZ12" s="2">
        <v>2594309.1799999997</v>
      </c>
      <c r="BA12" s="2">
        <v>3387877.3699999992</v>
      </c>
      <c r="BB12" s="2">
        <v>963212.21</v>
      </c>
      <c r="BC12" s="2">
        <v>61430727.029999971</v>
      </c>
      <c r="BD12" s="2">
        <v>3609331.0599999996</v>
      </c>
      <c r="BE12" s="2">
        <v>1152891.379999999</v>
      </c>
      <c r="BF12" s="2">
        <v>89376269.550000012</v>
      </c>
      <c r="BG12" s="2">
        <v>3413177.3800000008</v>
      </c>
      <c r="BH12" s="2">
        <v>1402680.1900000004</v>
      </c>
      <c r="BI12" s="2">
        <v>28790742.329999998</v>
      </c>
      <c r="BJ12" s="2">
        <v>1731732.17</v>
      </c>
      <c r="BK12" s="2">
        <v>6684497.2199999988</v>
      </c>
      <c r="BO12" s="2">
        <v>43289246.110000014</v>
      </c>
      <c r="BP12" s="2">
        <v>23797</v>
      </c>
      <c r="BQ12" s="2">
        <v>28204677.75</v>
      </c>
      <c r="BR12" s="2">
        <v>3530</v>
      </c>
      <c r="BS12" s="2">
        <v>0</v>
      </c>
    </row>
    <row r="13" spans="1:72" x14ac:dyDescent="0.25">
      <c r="A13" s="2" t="s">
        <v>328</v>
      </c>
      <c r="C13" s="2">
        <v>122392044.43000007</v>
      </c>
      <c r="D13" s="2">
        <v>1089358958.1900005</v>
      </c>
      <c r="E13" s="2">
        <v>177867235.49000001</v>
      </c>
      <c r="F13" s="2">
        <v>461321050.28999996</v>
      </c>
      <c r="G13" s="2">
        <v>481997659.80999994</v>
      </c>
      <c r="H13" s="2">
        <v>116884606.88</v>
      </c>
      <c r="I13" s="2">
        <v>6673026.1599999964</v>
      </c>
      <c r="J13" s="2">
        <v>104458855.64999998</v>
      </c>
      <c r="L13" s="2">
        <v>1168321418.5799999</v>
      </c>
      <c r="O13" s="2">
        <v>432825937.32999992</v>
      </c>
      <c r="Q13" s="2">
        <v>25053911.520000041</v>
      </c>
      <c r="R13" s="2">
        <v>0</v>
      </c>
      <c r="U13" s="2">
        <v>479808</v>
      </c>
      <c r="V13" s="2">
        <v>342720</v>
      </c>
      <c r="W13" s="2">
        <v>1168988.5899999999</v>
      </c>
      <c r="X13" s="2">
        <v>771004</v>
      </c>
      <c r="Y13" s="2">
        <v>0</v>
      </c>
      <c r="Z13" s="2">
        <v>137926325</v>
      </c>
      <c r="AA13" s="2">
        <v>1167520.0300000003</v>
      </c>
      <c r="AB13" s="2">
        <v>4100000</v>
      </c>
      <c r="AC13" s="2">
        <v>254787552</v>
      </c>
      <c r="AD13" s="2">
        <v>0</v>
      </c>
      <c r="AE13" s="2">
        <v>9375000</v>
      </c>
      <c r="AF13" s="2">
        <v>0</v>
      </c>
      <c r="AG13" s="2">
        <v>0</v>
      </c>
      <c r="AH13" s="2">
        <v>132301738.08000004</v>
      </c>
      <c r="AI13" s="2">
        <v>1099291.4499999993</v>
      </c>
      <c r="AJ13" s="2">
        <v>789818</v>
      </c>
      <c r="AK13" s="2">
        <v>7070820</v>
      </c>
      <c r="AL13" s="2">
        <v>0</v>
      </c>
      <c r="AM13" s="2">
        <v>0</v>
      </c>
      <c r="AN13" s="2">
        <v>0</v>
      </c>
      <c r="AO13" s="2">
        <v>810128</v>
      </c>
      <c r="AP13" s="2">
        <v>84207</v>
      </c>
      <c r="AQ13" s="2">
        <v>200700</v>
      </c>
      <c r="AR13" s="2">
        <v>27028</v>
      </c>
      <c r="AS13" s="2">
        <v>646261</v>
      </c>
      <c r="AT13" s="2">
        <v>695200</v>
      </c>
      <c r="AU13" s="2">
        <v>24000</v>
      </c>
      <c r="AV13" s="2">
        <v>384000</v>
      </c>
      <c r="AW13" s="2">
        <v>0</v>
      </c>
      <c r="AX13" s="2">
        <v>1227418.33</v>
      </c>
      <c r="AY13" s="2">
        <v>150409895.60000002</v>
      </c>
      <c r="AZ13" s="2">
        <v>2594309.1800000006</v>
      </c>
      <c r="BA13" s="2">
        <v>3387877.370000001</v>
      </c>
      <c r="BB13" s="2">
        <v>963212.21</v>
      </c>
      <c r="BC13" s="2">
        <v>60643897.420000017</v>
      </c>
      <c r="BD13" s="2">
        <v>3609331.0599999996</v>
      </c>
      <c r="BE13" s="2">
        <v>1096350.9800000004</v>
      </c>
      <c r="BF13" s="2">
        <v>89376269.550000012</v>
      </c>
      <c r="BG13" s="2">
        <v>3413177.3800000008</v>
      </c>
      <c r="BH13" s="2">
        <v>1402680.1900000004</v>
      </c>
      <c r="BI13" s="2">
        <v>28790742.32</v>
      </c>
      <c r="BJ13" s="2">
        <v>1731732.17</v>
      </c>
      <c r="BK13" s="2">
        <v>15475850.109999999</v>
      </c>
      <c r="BM13" s="2">
        <v>16150</v>
      </c>
      <c r="BO13" s="2">
        <v>32725412.779999971</v>
      </c>
      <c r="BP13" s="2">
        <v>21783</v>
      </c>
      <c r="BQ13" s="2">
        <v>28083305.650000006</v>
      </c>
      <c r="BR13" s="2">
        <v>3530</v>
      </c>
      <c r="BS13" s="2">
        <v>0</v>
      </c>
      <c r="BT13" s="2">
        <v>0</v>
      </c>
    </row>
    <row r="14" spans="1:72" x14ac:dyDescent="0.25">
      <c r="A14" s="2" t="s">
        <v>327</v>
      </c>
      <c r="C14" s="2">
        <v>115453108.52999997</v>
      </c>
      <c r="D14" s="2">
        <v>1177938475.6000004</v>
      </c>
      <c r="E14" s="2">
        <v>196807351.66000009</v>
      </c>
      <c r="F14" s="2">
        <v>487670161.57000017</v>
      </c>
      <c r="G14" s="2">
        <v>167947362.94000006</v>
      </c>
      <c r="H14" s="2">
        <v>65173639.800000012</v>
      </c>
      <c r="I14" s="2">
        <v>10662595.650000006</v>
      </c>
      <c r="J14" s="2">
        <v>20719943.399999976</v>
      </c>
      <c r="L14" s="2">
        <v>0</v>
      </c>
      <c r="M14" s="2">
        <v>20894350</v>
      </c>
      <c r="O14" s="2">
        <v>257737665.67000008</v>
      </c>
      <c r="Q14" s="2">
        <v>31344224.569999993</v>
      </c>
      <c r="R14" s="2">
        <v>0</v>
      </c>
      <c r="S14" s="2">
        <v>0</v>
      </c>
      <c r="T14" s="2">
        <v>972320000</v>
      </c>
      <c r="U14" s="2">
        <v>508032</v>
      </c>
      <c r="V14" s="2">
        <v>362880</v>
      </c>
      <c r="W14" s="2">
        <v>1693017.9600000009</v>
      </c>
      <c r="X14" s="2">
        <v>771004</v>
      </c>
      <c r="Y14" s="2">
        <v>26188200</v>
      </c>
      <c r="Z14" s="2">
        <v>123504450</v>
      </c>
      <c r="AA14" s="2">
        <v>317520</v>
      </c>
      <c r="AB14" s="2">
        <v>1850000</v>
      </c>
      <c r="AC14" s="2">
        <v>254787552</v>
      </c>
      <c r="AD14" s="2">
        <v>2780971.5300000003</v>
      </c>
      <c r="AE14" s="2">
        <v>13375215</v>
      </c>
      <c r="AG14" s="2">
        <v>908118</v>
      </c>
      <c r="AH14" s="2">
        <v>112673242.29999995</v>
      </c>
      <c r="AI14" s="2">
        <v>2118152.2100000009</v>
      </c>
      <c r="AJ14" s="2">
        <v>7319516.0999999996</v>
      </c>
      <c r="AK14" s="2">
        <v>6976310</v>
      </c>
      <c r="AL14" s="2">
        <v>4190000</v>
      </c>
      <c r="AM14" s="2">
        <v>1612100</v>
      </c>
      <c r="AO14" s="2">
        <v>812408</v>
      </c>
      <c r="AP14" s="2">
        <v>84207</v>
      </c>
      <c r="AQ14" s="2">
        <v>200700</v>
      </c>
      <c r="AR14" s="2">
        <v>27028</v>
      </c>
      <c r="AS14" s="2">
        <v>250150</v>
      </c>
      <c r="AT14" s="2">
        <v>660050</v>
      </c>
      <c r="AU14" s="2">
        <v>24000</v>
      </c>
      <c r="AV14" s="2">
        <v>384000</v>
      </c>
      <c r="AW14" s="2">
        <v>1250000</v>
      </c>
      <c r="AX14" s="2">
        <v>0</v>
      </c>
      <c r="AY14" s="2">
        <v>150409895.5999999</v>
      </c>
      <c r="AZ14" s="2">
        <v>2594309.1800000006</v>
      </c>
      <c r="BA14" s="2">
        <v>3387877.370000001</v>
      </c>
      <c r="BB14" s="2">
        <v>963212.21</v>
      </c>
      <c r="BC14" s="2">
        <v>60501078.139999986</v>
      </c>
      <c r="BD14" s="2">
        <v>3609331.0600000024</v>
      </c>
      <c r="BE14" s="2">
        <v>1096350.9800000004</v>
      </c>
      <c r="BF14" s="2">
        <v>89376269.550000012</v>
      </c>
      <c r="BG14" s="2">
        <v>3413177.37</v>
      </c>
      <c r="BH14" s="2">
        <v>1402680.1900000004</v>
      </c>
      <c r="BI14" s="2">
        <v>28790742.32</v>
      </c>
      <c r="BJ14" s="2">
        <v>1731732.17</v>
      </c>
      <c r="BK14" s="2">
        <v>15475850.109999999</v>
      </c>
      <c r="BM14" s="2">
        <v>3564</v>
      </c>
      <c r="BO14" s="2">
        <v>37868115.290000021</v>
      </c>
      <c r="BP14" s="2">
        <v>21995</v>
      </c>
      <c r="BQ14" s="2">
        <v>32420328.650000006</v>
      </c>
      <c r="BR14" s="2">
        <v>0</v>
      </c>
      <c r="BS14" s="2">
        <v>0</v>
      </c>
      <c r="BT14" s="2">
        <v>6170550</v>
      </c>
    </row>
    <row r="15" spans="1:72" x14ac:dyDescent="0.25">
      <c r="A15" s="2" t="s">
        <v>78</v>
      </c>
      <c r="C15" s="2">
        <v>166783937.02999997</v>
      </c>
      <c r="D15" s="2">
        <v>1190544974.1999989</v>
      </c>
      <c r="E15" s="2">
        <v>201635521.62999988</v>
      </c>
      <c r="F15" s="2">
        <v>508085595.59000015</v>
      </c>
      <c r="G15" s="2">
        <v>279956751.37000036</v>
      </c>
      <c r="H15" s="2">
        <v>47064607.800000012</v>
      </c>
      <c r="I15" s="2">
        <v>49252965.719999984</v>
      </c>
      <c r="J15" s="2">
        <v>54212124.850000024</v>
      </c>
      <c r="K15" s="2">
        <v>0</v>
      </c>
      <c r="M15" s="2">
        <v>16078404</v>
      </c>
      <c r="O15" s="2">
        <v>281619713.42000008</v>
      </c>
      <c r="P15" s="2">
        <v>3922240</v>
      </c>
      <c r="Q15" s="2">
        <v>39698364.939999938</v>
      </c>
      <c r="S15" s="2">
        <v>0</v>
      </c>
      <c r="T15" s="2">
        <v>0</v>
      </c>
      <c r="U15" s="2">
        <v>525280</v>
      </c>
      <c r="V15" s="2">
        <v>375200</v>
      </c>
      <c r="W15" s="2">
        <v>695346.66000000015</v>
      </c>
      <c r="X15" s="2">
        <v>771004</v>
      </c>
      <c r="Y15" s="2">
        <v>7227000</v>
      </c>
      <c r="Z15" s="2">
        <v>120976875</v>
      </c>
      <c r="AA15" s="2">
        <v>1167520.0300000003</v>
      </c>
      <c r="AB15" s="2">
        <v>9900000</v>
      </c>
      <c r="AC15" s="2">
        <v>254787552</v>
      </c>
      <c r="AD15" s="2">
        <v>0</v>
      </c>
      <c r="AE15" s="2">
        <v>9750000</v>
      </c>
      <c r="AF15" s="2">
        <v>1313538.4000000004</v>
      </c>
      <c r="AG15" s="2">
        <v>0</v>
      </c>
      <c r="AH15" s="2">
        <v>113748633.14999998</v>
      </c>
      <c r="AI15" s="2">
        <v>1508706.6099999994</v>
      </c>
      <c r="AJ15" s="2">
        <v>144865464.12</v>
      </c>
      <c r="AK15" s="2">
        <v>1584000</v>
      </c>
      <c r="AL15" s="2">
        <v>0</v>
      </c>
      <c r="AM15" s="2">
        <v>257776</v>
      </c>
      <c r="AO15" s="2">
        <v>803360</v>
      </c>
      <c r="AP15" s="2">
        <v>84207</v>
      </c>
      <c r="AQ15" s="2">
        <v>200700</v>
      </c>
      <c r="AR15" s="2">
        <v>27028</v>
      </c>
      <c r="AS15" s="2">
        <v>395754</v>
      </c>
      <c r="AT15" s="2">
        <v>617750</v>
      </c>
      <c r="AU15" s="2">
        <v>24000</v>
      </c>
      <c r="AV15" s="2">
        <v>384000</v>
      </c>
      <c r="AW15" s="2">
        <v>0</v>
      </c>
      <c r="AX15" s="2">
        <v>2454836.66</v>
      </c>
      <c r="AY15" s="2">
        <v>150409895.5999999</v>
      </c>
      <c r="AZ15" s="2">
        <v>2594309.1800000006</v>
      </c>
      <c r="BA15" s="2">
        <v>3387877.370000001</v>
      </c>
      <c r="BB15" s="2">
        <v>963212.21</v>
      </c>
      <c r="BC15" s="2">
        <v>60477289.310000002</v>
      </c>
      <c r="BD15" s="2">
        <v>3609331.0600000024</v>
      </c>
      <c r="BE15" s="2">
        <v>1096350.9800000004</v>
      </c>
      <c r="BF15" s="2">
        <v>89376269.550000012</v>
      </c>
      <c r="BG15" s="2">
        <v>3413177.37</v>
      </c>
      <c r="BH15" s="2">
        <v>1402680.1900000004</v>
      </c>
      <c r="BI15" s="2">
        <v>28790742.32</v>
      </c>
      <c r="BJ15" s="2">
        <v>1731732.17</v>
      </c>
      <c r="BK15" s="2">
        <v>15475850.109999999</v>
      </c>
      <c r="BM15" s="2">
        <v>69879.599999999991</v>
      </c>
      <c r="BO15" s="2">
        <v>38688741.589999974</v>
      </c>
      <c r="BP15" s="2">
        <v>22843</v>
      </c>
      <c r="BQ15" s="2">
        <v>26550254.25</v>
      </c>
      <c r="BR15" s="2">
        <v>3530</v>
      </c>
      <c r="BS15" s="2">
        <v>0</v>
      </c>
      <c r="BT15" s="2">
        <v>0</v>
      </c>
    </row>
    <row r="16" spans="1:72" x14ac:dyDescent="0.25">
      <c r="A16" s="2" t="s">
        <v>79</v>
      </c>
      <c r="C16" s="2">
        <v>205503557.59</v>
      </c>
      <c r="D16" s="2">
        <v>1259948331.1900001</v>
      </c>
      <c r="E16" s="2">
        <v>204722969.66999999</v>
      </c>
      <c r="F16" s="2">
        <v>530477499.47000003</v>
      </c>
      <c r="G16" s="2">
        <v>143699647.85999966</v>
      </c>
      <c r="H16" s="2">
        <v>23532303.899999999</v>
      </c>
      <c r="I16" s="2">
        <v>41899794.420000017</v>
      </c>
      <c r="J16" s="2">
        <v>34432816.700000048</v>
      </c>
      <c r="L16" s="2">
        <v>2357383598.2800007</v>
      </c>
      <c r="O16" s="2">
        <v>551401070.74000001</v>
      </c>
      <c r="Q16" s="2">
        <v>48106076.580000043</v>
      </c>
      <c r="U16" s="2">
        <v>473536</v>
      </c>
      <c r="V16" s="2">
        <v>338240</v>
      </c>
      <c r="W16" s="2">
        <v>544184.35</v>
      </c>
      <c r="X16" s="2">
        <v>771003</v>
      </c>
      <c r="Y16" s="2">
        <v>32616000</v>
      </c>
      <c r="Z16" s="2">
        <v>129843325</v>
      </c>
      <c r="AA16" s="2">
        <v>532894.99</v>
      </c>
      <c r="AC16" s="2">
        <v>254787552</v>
      </c>
      <c r="AD16" s="2">
        <v>550000</v>
      </c>
      <c r="AE16" s="2">
        <v>9375000</v>
      </c>
      <c r="AF16" s="2">
        <v>150380</v>
      </c>
      <c r="AG16" s="2">
        <v>206000</v>
      </c>
      <c r="AH16" s="2">
        <v>142889115.22999999</v>
      </c>
      <c r="AI16" s="2">
        <v>1428008.870000001</v>
      </c>
      <c r="AJ16" s="2">
        <v>4353930.8600000143</v>
      </c>
      <c r="AK16" s="2">
        <v>7729525</v>
      </c>
      <c r="AL16" s="2">
        <v>1561640</v>
      </c>
      <c r="AM16" s="2">
        <v>2904000</v>
      </c>
      <c r="AO16" s="2">
        <v>889032</v>
      </c>
      <c r="AP16" s="2">
        <v>84207</v>
      </c>
      <c r="AQ16" s="2">
        <v>200700</v>
      </c>
      <c r="AR16" s="2">
        <v>27028</v>
      </c>
      <c r="AS16" s="2">
        <v>889483</v>
      </c>
      <c r="AT16" s="2">
        <v>785500</v>
      </c>
      <c r="AU16" s="2">
        <v>24000</v>
      </c>
      <c r="AV16" s="2">
        <v>384000</v>
      </c>
      <c r="AX16" s="2">
        <v>1227418.33</v>
      </c>
      <c r="AY16" s="2">
        <v>150409895.59999999</v>
      </c>
      <c r="AZ16" s="2">
        <v>2594309.1800000006</v>
      </c>
      <c r="BA16" s="2">
        <v>3387877.370000001</v>
      </c>
      <c r="BB16" s="2">
        <v>963212.21</v>
      </c>
      <c r="BC16" s="2">
        <v>60453464.610000014</v>
      </c>
      <c r="BD16" s="2">
        <v>3609331.0600000024</v>
      </c>
      <c r="BE16" s="2">
        <v>1096350.9800000004</v>
      </c>
      <c r="BF16" s="2">
        <v>89376269.550000012</v>
      </c>
      <c r="BG16" s="2">
        <v>3413177.37</v>
      </c>
      <c r="BH16" s="2">
        <v>1402680.1900000004</v>
      </c>
      <c r="BI16" s="2">
        <v>28790742.32</v>
      </c>
      <c r="BJ16" s="2">
        <v>1731732.17</v>
      </c>
      <c r="BK16" s="2">
        <v>15475850.109999999</v>
      </c>
      <c r="BL16" s="2">
        <v>3600000</v>
      </c>
      <c r="BM16" s="2">
        <v>9415.35</v>
      </c>
      <c r="BO16" s="2">
        <v>51449508.520000041</v>
      </c>
      <c r="BP16" s="2">
        <v>22790</v>
      </c>
      <c r="BQ16" s="2">
        <v>29073273.550000012</v>
      </c>
      <c r="BR16" s="2">
        <v>14120</v>
      </c>
      <c r="BS16" s="2">
        <v>0</v>
      </c>
    </row>
  </sheetData>
  <autoFilter ref="L1:L16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tabSelected="1" workbookViewId="0">
      <pane xSplit="2" ySplit="3" topLeftCell="C4" activePane="bottomRight" state="frozen"/>
      <selection pane="topRight" activeCell="C1" sqref="C1"/>
      <selection pane="bottomLeft" activeCell="A10" sqref="A10"/>
      <selection pane="bottomRight" activeCell="F4" sqref="F4"/>
    </sheetView>
  </sheetViews>
  <sheetFormatPr defaultRowHeight="15" x14ac:dyDescent="0.25"/>
  <cols>
    <col min="1" max="1" width="4.28515625" customWidth="1"/>
    <col min="2" max="2" width="45" bestFit="1" customWidth="1"/>
    <col min="3" max="3" width="11" bestFit="1" customWidth="1"/>
    <col min="4" max="4" width="14.140625" customWidth="1"/>
    <col min="5" max="5" width="14.85546875" customWidth="1"/>
    <col min="6" max="6" width="17.5703125" customWidth="1"/>
    <col min="7" max="8" width="12.140625" customWidth="1"/>
    <col min="9" max="9" width="20.42578125" bestFit="1" customWidth="1"/>
  </cols>
  <sheetData>
    <row r="1" spans="1:10" ht="60" customHeight="1" x14ac:dyDescent="0.25">
      <c r="A1" s="59" t="s">
        <v>871</v>
      </c>
      <c r="B1" s="59"/>
      <c r="C1" s="59"/>
      <c r="D1" s="59"/>
      <c r="E1" s="59"/>
      <c r="F1" s="59"/>
    </row>
    <row r="3" spans="1:10" s="15" customFormat="1" ht="52.5" customHeight="1" x14ac:dyDescent="0.25">
      <c r="A3" s="55" t="s">
        <v>69</v>
      </c>
      <c r="B3" s="55" t="s">
        <v>872</v>
      </c>
      <c r="C3" s="55" t="s">
        <v>873</v>
      </c>
      <c r="D3" s="55" t="s">
        <v>874</v>
      </c>
      <c r="E3" s="55" t="s">
        <v>875</v>
      </c>
      <c r="F3" s="55" t="s">
        <v>876</v>
      </c>
    </row>
    <row r="4" spans="1:10" x14ac:dyDescent="0.25">
      <c r="A4" s="38">
        <v>1</v>
      </c>
      <c r="B4" s="56" t="s">
        <v>586</v>
      </c>
      <c r="C4" s="41">
        <v>40127</v>
      </c>
      <c r="D4" s="38" t="s">
        <v>877</v>
      </c>
      <c r="E4" s="38">
        <v>16</v>
      </c>
      <c r="F4" s="51">
        <v>50</v>
      </c>
      <c r="G4" s="6"/>
      <c r="H4" s="6"/>
      <c r="I4" s="7"/>
      <c r="J4" s="7"/>
    </row>
    <row r="5" spans="1:10" x14ac:dyDescent="0.25">
      <c r="A5" s="38">
        <f>+A4+1</f>
        <v>2</v>
      </c>
      <c r="B5" s="56" t="s">
        <v>578</v>
      </c>
      <c r="C5" s="41">
        <v>37985</v>
      </c>
      <c r="D5" s="38" t="s">
        <v>878</v>
      </c>
      <c r="E5" s="38">
        <v>22</v>
      </c>
      <c r="F5" s="51">
        <v>50</v>
      </c>
      <c r="G5" s="6"/>
      <c r="H5" s="6"/>
      <c r="I5" s="7"/>
      <c r="J5" s="7"/>
    </row>
    <row r="6" spans="1:10" x14ac:dyDescent="0.25">
      <c r="A6" s="38">
        <f t="shared" ref="A6:A69" si="0">+A5+1</f>
        <v>3</v>
      </c>
      <c r="B6" s="56" t="s">
        <v>879</v>
      </c>
      <c r="C6" s="41">
        <v>41460</v>
      </c>
      <c r="D6" s="38" t="s">
        <v>880</v>
      </c>
      <c r="E6" s="38">
        <v>12</v>
      </c>
      <c r="F6" s="51">
        <v>40</v>
      </c>
      <c r="G6" s="6"/>
      <c r="H6" s="6"/>
      <c r="I6" s="7"/>
      <c r="J6" s="7"/>
    </row>
    <row r="7" spans="1:10" x14ac:dyDescent="0.25">
      <c r="A7" s="38">
        <f t="shared" si="0"/>
        <v>4</v>
      </c>
      <c r="B7" s="56" t="s">
        <v>508</v>
      </c>
      <c r="C7" s="41">
        <v>39943</v>
      </c>
      <c r="D7" s="38" t="s">
        <v>881</v>
      </c>
      <c r="E7" s="38">
        <v>16</v>
      </c>
      <c r="F7" s="51">
        <v>50</v>
      </c>
      <c r="G7" s="6"/>
      <c r="H7" s="6"/>
      <c r="I7" s="7"/>
      <c r="J7" s="7"/>
    </row>
    <row r="8" spans="1:10" x14ac:dyDescent="0.25">
      <c r="A8" s="38">
        <f t="shared" si="0"/>
        <v>5</v>
      </c>
      <c r="B8" s="56" t="s">
        <v>491</v>
      </c>
      <c r="C8" s="41">
        <v>38958</v>
      </c>
      <c r="D8" s="38" t="s">
        <v>882</v>
      </c>
      <c r="E8" s="38">
        <v>19</v>
      </c>
      <c r="F8" s="51">
        <v>50</v>
      </c>
      <c r="G8" s="6"/>
      <c r="H8" s="6"/>
      <c r="I8" s="7"/>
      <c r="J8" s="7"/>
    </row>
    <row r="9" spans="1:10" x14ac:dyDescent="0.25">
      <c r="A9" s="38">
        <f t="shared" si="0"/>
        <v>6</v>
      </c>
      <c r="B9" s="56" t="s">
        <v>686</v>
      </c>
      <c r="C9" s="41">
        <v>40634</v>
      </c>
      <c r="D9" s="38" t="s">
        <v>883</v>
      </c>
      <c r="E9" s="38">
        <v>14</v>
      </c>
      <c r="F9" s="51">
        <v>40</v>
      </c>
      <c r="G9" s="6"/>
      <c r="H9" s="6"/>
      <c r="I9" s="7"/>
      <c r="J9" s="7"/>
    </row>
    <row r="10" spans="1:10" x14ac:dyDescent="0.25">
      <c r="A10" s="38">
        <f t="shared" si="0"/>
        <v>7</v>
      </c>
      <c r="B10" s="56" t="s">
        <v>884</v>
      </c>
      <c r="C10" s="41">
        <v>35223</v>
      </c>
      <c r="D10" s="38" t="s">
        <v>885</v>
      </c>
      <c r="E10" s="38">
        <v>29</v>
      </c>
      <c r="F10" s="51">
        <v>50</v>
      </c>
      <c r="G10" s="6"/>
      <c r="H10" s="6"/>
      <c r="I10" s="7"/>
      <c r="J10" s="7"/>
    </row>
    <row r="11" spans="1:10" x14ac:dyDescent="0.25">
      <c r="A11" s="38">
        <f t="shared" si="0"/>
        <v>8</v>
      </c>
      <c r="B11" s="56" t="s">
        <v>886</v>
      </c>
      <c r="C11" s="41">
        <v>43458</v>
      </c>
      <c r="D11" s="38" t="s">
        <v>887</v>
      </c>
      <c r="E11" s="38">
        <v>7</v>
      </c>
      <c r="F11" s="51">
        <v>30</v>
      </c>
      <c r="G11" s="6"/>
      <c r="H11" s="6"/>
      <c r="I11" s="7"/>
      <c r="J11" s="7"/>
    </row>
    <row r="12" spans="1:10" x14ac:dyDescent="0.25">
      <c r="A12" s="38">
        <f t="shared" si="0"/>
        <v>9</v>
      </c>
      <c r="B12" s="56" t="s">
        <v>527</v>
      </c>
      <c r="C12" s="41">
        <v>35122</v>
      </c>
      <c r="D12" s="38" t="s">
        <v>888</v>
      </c>
      <c r="E12" s="38">
        <v>29</v>
      </c>
      <c r="F12" s="51">
        <v>50</v>
      </c>
      <c r="G12" s="6"/>
      <c r="H12" s="6"/>
      <c r="I12" s="7"/>
      <c r="J12" s="7"/>
    </row>
    <row r="13" spans="1:10" x14ac:dyDescent="0.25">
      <c r="A13" s="38">
        <f t="shared" si="0"/>
        <v>10</v>
      </c>
      <c r="B13" s="56" t="s">
        <v>478</v>
      </c>
      <c r="C13" s="41">
        <v>40524</v>
      </c>
      <c r="D13" s="38" t="s">
        <v>889</v>
      </c>
      <c r="E13" s="38">
        <v>15</v>
      </c>
      <c r="F13" s="51">
        <v>50</v>
      </c>
      <c r="G13" s="6"/>
      <c r="H13" s="6"/>
      <c r="I13" s="7"/>
      <c r="J13" s="7"/>
    </row>
    <row r="14" spans="1:10" x14ac:dyDescent="0.25">
      <c r="A14" s="38">
        <f t="shared" si="0"/>
        <v>11</v>
      </c>
      <c r="B14" s="56" t="s">
        <v>454</v>
      </c>
      <c r="C14" s="41">
        <v>35919</v>
      </c>
      <c r="D14" s="38" t="s">
        <v>890</v>
      </c>
      <c r="E14" s="38">
        <v>27</v>
      </c>
      <c r="F14" s="51">
        <v>50</v>
      </c>
      <c r="G14" s="6"/>
      <c r="H14" s="6"/>
      <c r="I14" s="7"/>
      <c r="J14" s="7"/>
    </row>
    <row r="15" spans="1:10" x14ac:dyDescent="0.25">
      <c r="A15" s="38">
        <f t="shared" si="0"/>
        <v>12</v>
      </c>
      <c r="B15" s="56" t="s">
        <v>533</v>
      </c>
      <c r="C15" s="41">
        <v>38171</v>
      </c>
      <c r="D15" s="38" t="s">
        <v>891</v>
      </c>
      <c r="E15" s="38">
        <v>21</v>
      </c>
      <c r="F15" s="51">
        <v>50</v>
      </c>
      <c r="G15" s="6"/>
      <c r="H15" s="6"/>
      <c r="I15" s="7"/>
      <c r="J15" s="7"/>
    </row>
    <row r="16" spans="1:10" x14ac:dyDescent="0.25">
      <c r="A16" s="38">
        <f t="shared" si="0"/>
        <v>13</v>
      </c>
      <c r="B16" s="56" t="s">
        <v>510</v>
      </c>
      <c r="C16" s="41">
        <v>42371</v>
      </c>
      <c r="D16" s="38" t="s">
        <v>892</v>
      </c>
      <c r="E16" s="38">
        <v>10</v>
      </c>
      <c r="F16" s="51">
        <v>40</v>
      </c>
      <c r="G16" s="6"/>
      <c r="H16" s="6"/>
      <c r="I16" s="7"/>
      <c r="J16" s="7"/>
    </row>
    <row r="17" spans="1:10" x14ac:dyDescent="0.25">
      <c r="A17" s="38">
        <f t="shared" si="0"/>
        <v>14</v>
      </c>
      <c r="B17" s="56" t="s">
        <v>516</v>
      </c>
      <c r="C17" s="41">
        <v>43424</v>
      </c>
      <c r="D17" s="38" t="s">
        <v>893</v>
      </c>
      <c r="E17" s="38">
        <v>7</v>
      </c>
      <c r="F17" s="51">
        <v>30</v>
      </c>
      <c r="G17" s="6"/>
      <c r="H17" s="6"/>
      <c r="I17" s="7"/>
      <c r="J17" s="7"/>
    </row>
    <row r="18" spans="1:10" x14ac:dyDescent="0.25">
      <c r="A18" s="38">
        <f t="shared" si="0"/>
        <v>15</v>
      </c>
      <c r="B18" s="56" t="s">
        <v>450</v>
      </c>
      <c r="C18" s="41">
        <v>38316</v>
      </c>
      <c r="D18" s="38" t="s">
        <v>894</v>
      </c>
      <c r="E18" s="38">
        <v>21</v>
      </c>
      <c r="F18" s="51">
        <v>50</v>
      </c>
      <c r="G18" s="6"/>
      <c r="H18" s="6"/>
      <c r="I18" s="7"/>
      <c r="J18" s="7"/>
    </row>
    <row r="19" spans="1:10" x14ac:dyDescent="0.25">
      <c r="A19" s="38">
        <f t="shared" si="0"/>
        <v>16</v>
      </c>
      <c r="B19" s="56" t="s">
        <v>563</v>
      </c>
      <c r="C19" s="41">
        <v>42937</v>
      </c>
      <c r="D19" s="38" t="s">
        <v>895</v>
      </c>
      <c r="E19" s="38">
        <v>8</v>
      </c>
      <c r="F19" s="51">
        <v>30</v>
      </c>
      <c r="G19" s="6"/>
      <c r="H19" s="6"/>
      <c r="I19" s="7"/>
      <c r="J19" s="7"/>
    </row>
    <row r="20" spans="1:10" x14ac:dyDescent="0.25">
      <c r="A20" s="38">
        <f t="shared" si="0"/>
        <v>17</v>
      </c>
      <c r="B20" s="56" t="s">
        <v>572</v>
      </c>
      <c r="C20" s="41">
        <v>41491</v>
      </c>
      <c r="D20" s="38" t="s">
        <v>896</v>
      </c>
      <c r="E20" s="38">
        <v>12</v>
      </c>
      <c r="F20" s="51">
        <v>40</v>
      </c>
      <c r="G20" s="6"/>
      <c r="H20" s="6"/>
      <c r="I20" s="7"/>
      <c r="J20" s="7"/>
    </row>
    <row r="21" spans="1:10" x14ac:dyDescent="0.25">
      <c r="A21" s="38">
        <f t="shared" si="0"/>
        <v>18</v>
      </c>
      <c r="B21" s="56" t="s">
        <v>542</v>
      </c>
      <c r="C21" s="41">
        <v>42684</v>
      </c>
      <c r="D21" s="38" t="s">
        <v>897</v>
      </c>
      <c r="E21" s="38">
        <v>9</v>
      </c>
      <c r="F21" s="51">
        <v>30</v>
      </c>
      <c r="G21" s="6"/>
      <c r="H21" s="6"/>
      <c r="I21" s="7"/>
      <c r="J21" s="7"/>
    </row>
    <row r="22" spans="1:10" x14ac:dyDescent="0.25">
      <c r="A22" s="38">
        <f t="shared" si="0"/>
        <v>19</v>
      </c>
      <c r="B22" s="56" t="s">
        <v>540</v>
      </c>
      <c r="C22" s="41">
        <v>40750</v>
      </c>
      <c r="D22" s="38" t="s">
        <v>898</v>
      </c>
      <c r="E22" s="38">
        <v>14</v>
      </c>
      <c r="F22" s="51">
        <v>40</v>
      </c>
      <c r="G22" s="6"/>
      <c r="H22" s="6"/>
      <c r="I22" s="7"/>
      <c r="J22" s="7"/>
    </row>
    <row r="23" spans="1:10" x14ac:dyDescent="0.25">
      <c r="A23" s="38">
        <f t="shared" si="0"/>
        <v>20</v>
      </c>
      <c r="B23" s="56" t="s">
        <v>520</v>
      </c>
      <c r="C23" s="41">
        <v>40534</v>
      </c>
      <c r="D23" s="38" t="s">
        <v>899</v>
      </c>
      <c r="E23" s="38">
        <v>15</v>
      </c>
      <c r="F23" s="51">
        <v>50</v>
      </c>
      <c r="G23" s="6"/>
      <c r="H23" s="6"/>
      <c r="I23" s="7"/>
      <c r="J23" s="7"/>
    </row>
    <row r="24" spans="1:10" x14ac:dyDescent="0.25">
      <c r="A24" s="38">
        <f t="shared" si="0"/>
        <v>21</v>
      </c>
      <c r="B24" s="56" t="s">
        <v>548</v>
      </c>
      <c r="C24" s="41">
        <v>37485</v>
      </c>
      <c r="D24" s="38" t="s">
        <v>900</v>
      </c>
      <c r="E24" s="38">
        <v>23</v>
      </c>
      <c r="F24" s="51">
        <v>50</v>
      </c>
      <c r="G24" s="6"/>
      <c r="H24" s="6"/>
      <c r="I24" s="7"/>
      <c r="J24" s="7"/>
    </row>
    <row r="25" spans="1:10" x14ac:dyDescent="0.25">
      <c r="A25" s="38">
        <f t="shared" si="0"/>
        <v>22</v>
      </c>
      <c r="B25" s="56" t="s">
        <v>485</v>
      </c>
      <c r="C25" s="41">
        <v>43801</v>
      </c>
      <c r="D25" s="38" t="s">
        <v>901</v>
      </c>
      <c r="E25" s="38">
        <v>6</v>
      </c>
      <c r="F25" s="51">
        <v>20</v>
      </c>
      <c r="G25" s="6"/>
      <c r="H25" s="6"/>
      <c r="I25" s="7"/>
      <c r="J25" s="7"/>
    </row>
    <row r="26" spans="1:10" x14ac:dyDescent="0.25">
      <c r="A26" s="38">
        <f t="shared" si="0"/>
        <v>23</v>
      </c>
      <c r="B26" s="56" t="s">
        <v>570</v>
      </c>
      <c r="C26" s="41">
        <v>36290</v>
      </c>
      <c r="D26" s="38" t="s">
        <v>902</v>
      </c>
      <c r="E26" s="38">
        <v>26</v>
      </c>
      <c r="F26" s="51">
        <v>50</v>
      </c>
      <c r="G26" s="6"/>
      <c r="H26" s="6"/>
      <c r="I26" s="7"/>
      <c r="J26" s="7"/>
    </row>
    <row r="27" spans="1:10" x14ac:dyDescent="0.25">
      <c r="A27" s="38">
        <f t="shared" si="0"/>
        <v>24</v>
      </c>
      <c r="B27" s="56" t="s">
        <v>474</v>
      </c>
      <c r="C27" s="41">
        <v>33086</v>
      </c>
      <c r="D27" s="38" t="s">
        <v>903</v>
      </c>
      <c r="E27" s="38">
        <v>35</v>
      </c>
      <c r="F27" s="51">
        <v>50</v>
      </c>
      <c r="G27" s="6"/>
      <c r="H27" s="6"/>
      <c r="I27" s="7"/>
      <c r="J27" s="7"/>
    </row>
    <row r="28" spans="1:10" x14ac:dyDescent="0.25">
      <c r="A28" s="38">
        <f t="shared" si="0"/>
        <v>25</v>
      </c>
      <c r="B28" s="56" t="s">
        <v>509</v>
      </c>
      <c r="C28" s="41">
        <v>37505</v>
      </c>
      <c r="D28" s="38" t="s">
        <v>904</v>
      </c>
      <c r="E28" s="38">
        <v>23</v>
      </c>
      <c r="F28" s="51">
        <v>50</v>
      </c>
      <c r="G28" s="6"/>
      <c r="H28" s="6"/>
      <c r="I28" s="7"/>
      <c r="J28" s="7"/>
    </row>
    <row r="29" spans="1:10" x14ac:dyDescent="0.25">
      <c r="A29" s="38">
        <f t="shared" si="0"/>
        <v>26</v>
      </c>
      <c r="B29" s="56" t="s">
        <v>522</v>
      </c>
      <c r="C29" s="41">
        <v>40171</v>
      </c>
      <c r="D29" s="38" t="s">
        <v>905</v>
      </c>
      <c r="E29" s="38">
        <v>16</v>
      </c>
      <c r="F29" s="51">
        <v>50</v>
      </c>
      <c r="G29" s="6"/>
      <c r="H29" s="6"/>
      <c r="I29" s="7"/>
      <c r="J29" s="7"/>
    </row>
    <row r="30" spans="1:10" x14ac:dyDescent="0.25">
      <c r="A30" s="38">
        <f t="shared" si="0"/>
        <v>27</v>
      </c>
      <c r="B30" s="56" t="s">
        <v>569</v>
      </c>
      <c r="C30" s="41">
        <v>35184</v>
      </c>
      <c r="D30" s="38" t="s">
        <v>906</v>
      </c>
      <c r="E30" s="38">
        <v>29</v>
      </c>
      <c r="F30" s="51">
        <v>50</v>
      </c>
      <c r="G30" s="6"/>
      <c r="H30" s="6"/>
      <c r="I30" s="7"/>
      <c r="J30" s="7"/>
    </row>
    <row r="31" spans="1:10" x14ac:dyDescent="0.25">
      <c r="A31" s="38">
        <f t="shared" si="0"/>
        <v>28</v>
      </c>
      <c r="B31" s="56" t="s">
        <v>487</v>
      </c>
      <c r="C31" s="41">
        <v>35651</v>
      </c>
      <c r="D31" s="38" t="s">
        <v>907</v>
      </c>
      <c r="E31" s="38">
        <v>28</v>
      </c>
      <c r="F31" s="51">
        <v>50</v>
      </c>
      <c r="G31" s="6"/>
      <c r="H31" s="6"/>
      <c r="I31" s="7"/>
      <c r="J31" s="7"/>
    </row>
    <row r="32" spans="1:10" x14ac:dyDescent="0.25">
      <c r="A32" s="38">
        <f t="shared" si="0"/>
        <v>29</v>
      </c>
      <c r="B32" s="56" t="s">
        <v>456</v>
      </c>
      <c r="C32" s="41">
        <v>30223</v>
      </c>
      <c r="D32" s="38" t="s">
        <v>908</v>
      </c>
      <c r="E32" s="38">
        <v>43</v>
      </c>
      <c r="F32" s="51">
        <v>50</v>
      </c>
      <c r="G32" s="6"/>
      <c r="H32" s="6"/>
      <c r="I32" s="7"/>
      <c r="J32" s="7"/>
    </row>
    <row r="33" spans="1:10" x14ac:dyDescent="0.25">
      <c r="A33" s="38">
        <f t="shared" si="0"/>
        <v>30</v>
      </c>
      <c r="B33" s="56" t="s">
        <v>534</v>
      </c>
      <c r="C33" s="41">
        <v>41482</v>
      </c>
      <c r="D33" s="38" t="s">
        <v>909</v>
      </c>
      <c r="E33" s="38">
        <v>12</v>
      </c>
      <c r="F33" s="51">
        <v>40</v>
      </c>
      <c r="G33" s="6"/>
      <c r="H33" s="6"/>
      <c r="I33" s="7"/>
      <c r="J33" s="7"/>
    </row>
    <row r="34" spans="1:10" x14ac:dyDescent="0.25">
      <c r="A34" s="38">
        <f t="shared" si="0"/>
        <v>31</v>
      </c>
      <c r="B34" s="56" t="s">
        <v>557</v>
      </c>
      <c r="C34" s="41">
        <v>42502</v>
      </c>
      <c r="D34" s="38" t="s">
        <v>910</v>
      </c>
      <c r="E34" s="38">
        <v>9</v>
      </c>
      <c r="F34" s="51">
        <v>30</v>
      </c>
      <c r="G34" s="6"/>
      <c r="H34" s="6"/>
      <c r="I34" s="7"/>
      <c r="J34" s="7"/>
    </row>
    <row r="35" spans="1:10" x14ac:dyDescent="0.25">
      <c r="A35" s="38">
        <f t="shared" si="0"/>
        <v>32</v>
      </c>
      <c r="B35" s="56" t="s">
        <v>448</v>
      </c>
      <c r="C35" s="41">
        <v>42666</v>
      </c>
      <c r="D35" s="38" t="s">
        <v>911</v>
      </c>
      <c r="E35" s="38">
        <v>9</v>
      </c>
      <c r="F35" s="51">
        <v>30</v>
      </c>
      <c r="G35" s="6"/>
      <c r="H35" s="6"/>
      <c r="I35" s="7"/>
      <c r="J35" s="7"/>
    </row>
    <row r="36" spans="1:10" x14ac:dyDescent="0.25">
      <c r="A36" s="38">
        <f t="shared" si="0"/>
        <v>33</v>
      </c>
      <c r="B36" s="56" t="s">
        <v>560</v>
      </c>
      <c r="C36" s="41">
        <v>40665</v>
      </c>
      <c r="D36" s="38" t="s">
        <v>912</v>
      </c>
      <c r="E36" s="38">
        <v>14</v>
      </c>
      <c r="F36" s="51">
        <v>40</v>
      </c>
      <c r="G36" s="6"/>
      <c r="H36" s="6"/>
      <c r="I36" s="7"/>
      <c r="J36" s="7"/>
    </row>
    <row r="37" spans="1:10" x14ac:dyDescent="0.25">
      <c r="A37" s="38">
        <f t="shared" si="0"/>
        <v>34</v>
      </c>
      <c r="B37" s="56" t="s">
        <v>476</v>
      </c>
      <c r="C37" s="41">
        <v>42563</v>
      </c>
      <c r="D37" s="38" t="s">
        <v>913</v>
      </c>
      <c r="E37" s="38">
        <v>9</v>
      </c>
      <c r="F37" s="51">
        <v>30</v>
      </c>
      <c r="G37" s="6"/>
      <c r="H37" s="6"/>
      <c r="I37" s="7"/>
      <c r="J37" s="7"/>
    </row>
    <row r="38" spans="1:10" x14ac:dyDescent="0.25">
      <c r="A38" s="38">
        <f t="shared" si="0"/>
        <v>35</v>
      </c>
      <c r="B38" s="56" t="s">
        <v>577</v>
      </c>
      <c r="C38" s="41">
        <v>42244</v>
      </c>
      <c r="D38" s="38" t="s">
        <v>914</v>
      </c>
      <c r="E38" s="38">
        <v>10</v>
      </c>
      <c r="F38" s="51">
        <v>40</v>
      </c>
      <c r="G38" s="6"/>
      <c r="H38" s="6"/>
      <c r="I38" s="7"/>
      <c r="J38" s="7"/>
    </row>
    <row r="39" spans="1:10" x14ac:dyDescent="0.25">
      <c r="A39" s="38">
        <f t="shared" si="0"/>
        <v>36</v>
      </c>
      <c r="B39" s="56" t="s">
        <v>574</v>
      </c>
      <c r="C39" s="41">
        <v>43446</v>
      </c>
      <c r="D39" s="38" t="s">
        <v>915</v>
      </c>
      <c r="E39" s="38">
        <v>7</v>
      </c>
      <c r="F39" s="51">
        <v>30</v>
      </c>
      <c r="G39" s="6"/>
      <c r="H39" s="6"/>
      <c r="I39" s="7"/>
      <c r="J39" s="7"/>
    </row>
    <row r="40" spans="1:10" x14ac:dyDescent="0.25">
      <c r="A40" s="38">
        <f t="shared" si="0"/>
        <v>37</v>
      </c>
      <c r="B40" s="56" t="s">
        <v>515</v>
      </c>
      <c r="C40" s="41">
        <v>39984</v>
      </c>
      <c r="D40" s="38" t="s">
        <v>916</v>
      </c>
      <c r="E40" s="38">
        <v>16</v>
      </c>
      <c r="F40" s="51">
        <v>50</v>
      </c>
      <c r="G40" s="6"/>
      <c r="H40" s="6"/>
      <c r="I40" s="7"/>
      <c r="J40" s="7"/>
    </row>
    <row r="41" spans="1:10" x14ac:dyDescent="0.25">
      <c r="A41" s="38">
        <f t="shared" si="0"/>
        <v>38</v>
      </c>
      <c r="B41" s="56" t="s">
        <v>502</v>
      </c>
      <c r="C41" s="41">
        <v>35825</v>
      </c>
      <c r="D41" s="38" t="s">
        <v>917</v>
      </c>
      <c r="E41" s="38">
        <v>27</v>
      </c>
      <c r="F41" s="51">
        <v>50</v>
      </c>
      <c r="G41" s="6"/>
      <c r="H41" s="6"/>
      <c r="I41" s="7"/>
      <c r="J41" s="7"/>
    </row>
    <row r="42" spans="1:10" x14ac:dyDescent="0.25">
      <c r="A42" s="38">
        <f t="shared" si="0"/>
        <v>39</v>
      </c>
      <c r="B42" s="56" t="s">
        <v>524</v>
      </c>
      <c r="C42" s="41">
        <v>38246</v>
      </c>
      <c r="D42" s="38" t="s">
        <v>918</v>
      </c>
      <c r="E42" s="38">
        <v>21</v>
      </c>
      <c r="F42" s="51">
        <v>50</v>
      </c>
      <c r="G42" s="6"/>
      <c r="H42" s="6"/>
      <c r="I42" s="7"/>
      <c r="J42" s="7"/>
    </row>
    <row r="43" spans="1:10" x14ac:dyDescent="0.25">
      <c r="A43" s="38">
        <f t="shared" si="0"/>
        <v>40</v>
      </c>
      <c r="B43" s="56" t="s">
        <v>561</v>
      </c>
      <c r="C43" s="41">
        <v>42761</v>
      </c>
      <c r="D43" s="38" t="s">
        <v>919</v>
      </c>
      <c r="E43" s="38">
        <v>9</v>
      </c>
      <c r="F43" s="51">
        <v>30</v>
      </c>
      <c r="G43" s="6"/>
      <c r="H43" s="6"/>
      <c r="I43" s="7"/>
      <c r="J43" s="7"/>
    </row>
    <row r="44" spans="1:10" x14ac:dyDescent="0.25">
      <c r="A44" s="38">
        <f t="shared" si="0"/>
        <v>41</v>
      </c>
      <c r="B44" s="56" t="s">
        <v>547</v>
      </c>
      <c r="C44" s="41">
        <v>40984</v>
      </c>
      <c r="D44" s="38" t="s">
        <v>920</v>
      </c>
      <c r="E44" s="38">
        <v>13</v>
      </c>
      <c r="F44" s="51">
        <v>40</v>
      </c>
      <c r="G44" s="6"/>
      <c r="H44" s="6"/>
      <c r="I44" s="7"/>
      <c r="J44" s="7"/>
    </row>
    <row r="45" spans="1:10" x14ac:dyDescent="0.25">
      <c r="A45" s="38">
        <f t="shared" si="0"/>
        <v>42</v>
      </c>
      <c r="B45" s="56" t="s">
        <v>483</v>
      </c>
      <c r="C45" s="41">
        <v>39211</v>
      </c>
      <c r="D45" s="38" t="s">
        <v>921</v>
      </c>
      <c r="E45" s="38">
        <v>18</v>
      </c>
      <c r="F45" s="51">
        <v>50</v>
      </c>
      <c r="G45" s="6"/>
      <c r="H45" s="6"/>
      <c r="I45" s="7"/>
      <c r="J45" s="7"/>
    </row>
    <row r="46" spans="1:10" x14ac:dyDescent="0.25">
      <c r="A46" s="38">
        <f t="shared" si="0"/>
        <v>43</v>
      </c>
      <c r="B46" s="56" t="s">
        <v>553</v>
      </c>
      <c r="C46" s="41">
        <v>40826</v>
      </c>
      <c r="D46" s="38" t="s">
        <v>922</v>
      </c>
      <c r="E46" s="38">
        <v>14</v>
      </c>
      <c r="F46" s="51">
        <v>40</v>
      </c>
      <c r="G46" s="6"/>
      <c r="H46" s="6"/>
      <c r="I46" s="7"/>
      <c r="J46" s="7"/>
    </row>
    <row r="47" spans="1:10" x14ac:dyDescent="0.25">
      <c r="A47" s="38">
        <f t="shared" si="0"/>
        <v>44</v>
      </c>
      <c r="B47" s="56" t="s">
        <v>461</v>
      </c>
      <c r="C47" s="41">
        <v>40843</v>
      </c>
      <c r="D47" s="38" t="s">
        <v>923</v>
      </c>
      <c r="E47" s="38">
        <v>14</v>
      </c>
      <c r="F47" s="51">
        <v>40</v>
      </c>
      <c r="G47" s="6"/>
      <c r="H47" s="6"/>
      <c r="I47" s="7"/>
      <c r="J47" s="7"/>
    </row>
    <row r="48" spans="1:10" x14ac:dyDescent="0.25">
      <c r="A48" s="38">
        <f t="shared" si="0"/>
        <v>45</v>
      </c>
      <c r="B48" s="56" t="s">
        <v>566</v>
      </c>
      <c r="C48" s="41">
        <v>42423</v>
      </c>
      <c r="D48" s="38" t="s">
        <v>924</v>
      </c>
      <c r="E48" s="38">
        <v>9</v>
      </c>
      <c r="F48" s="51">
        <v>30</v>
      </c>
      <c r="G48" s="6"/>
      <c r="H48" s="6"/>
      <c r="I48" s="7"/>
      <c r="J48" s="7"/>
    </row>
    <row r="49" spans="1:10" x14ac:dyDescent="0.25">
      <c r="A49" s="38">
        <f t="shared" si="0"/>
        <v>46</v>
      </c>
      <c r="B49" s="56" t="s">
        <v>584</v>
      </c>
      <c r="C49" s="41">
        <v>43498</v>
      </c>
      <c r="D49" s="38" t="s">
        <v>925</v>
      </c>
      <c r="E49" s="38">
        <v>6</v>
      </c>
      <c r="F49" s="51">
        <v>20</v>
      </c>
      <c r="G49" s="6"/>
      <c r="H49" s="6"/>
      <c r="I49" s="7"/>
      <c r="J49" s="7"/>
    </row>
    <row r="50" spans="1:10" x14ac:dyDescent="0.25">
      <c r="A50" s="38">
        <f t="shared" si="0"/>
        <v>47</v>
      </c>
      <c r="B50" s="56" t="s">
        <v>519</v>
      </c>
      <c r="C50" s="41">
        <v>43767</v>
      </c>
      <c r="D50" s="38" t="s">
        <v>926</v>
      </c>
      <c r="E50" s="38">
        <v>6</v>
      </c>
      <c r="F50" s="51">
        <v>20</v>
      </c>
      <c r="G50" s="6"/>
      <c r="H50" s="6"/>
      <c r="I50" s="7"/>
      <c r="J50" s="7"/>
    </row>
    <row r="51" spans="1:10" x14ac:dyDescent="0.25">
      <c r="A51" s="38">
        <f t="shared" si="0"/>
        <v>48</v>
      </c>
      <c r="B51" s="56" t="s">
        <v>538</v>
      </c>
      <c r="C51" s="41">
        <v>43311</v>
      </c>
      <c r="D51" s="38" t="s">
        <v>927</v>
      </c>
      <c r="E51" s="38">
        <v>7</v>
      </c>
      <c r="F51" s="51">
        <v>30</v>
      </c>
      <c r="G51" s="6"/>
      <c r="H51" s="6"/>
      <c r="I51" s="7"/>
      <c r="J51" s="7"/>
    </row>
    <row r="52" spans="1:10" x14ac:dyDescent="0.25">
      <c r="A52" s="38">
        <f t="shared" si="0"/>
        <v>49</v>
      </c>
      <c r="B52" s="56" t="s">
        <v>550</v>
      </c>
      <c r="C52" s="41">
        <v>35222</v>
      </c>
      <c r="D52" s="38" t="s">
        <v>928</v>
      </c>
      <c r="E52" s="38">
        <v>29</v>
      </c>
      <c r="F52" s="51">
        <v>50</v>
      </c>
      <c r="G52" s="6"/>
      <c r="H52" s="6"/>
      <c r="I52" s="7"/>
      <c r="J52" s="7"/>
    </row>
    <row r="53" spans="1:10" x14ac:dyDescent="0.25">
      <c r="A53" s="38">
        <f t="shared" si="0"/>
        <v>50</v>
      </c>
      <c r="B53" s="56" t="s">
        <v>494</v>
      </c>
      <c r="C53" s="41">
        <v>35471</v>
      </c>
      <c r="D53" s="38" t="s">
        <v>929</v>
      </c>
      <c r="E53" s="38">
        <v>28</v>
      </c>
      <c r="F53" s="51">
        <v>50</v>
      </c>
      <c r="G53" s="6"/>
      <c r="H53" s="6"/>
      <c r="I53" s="7"/>
      <c r="J53" s="7"/>
    </row>
    <row r="54" spans="1:10" x14ac:dyDescent="0.25">
      <c r="A54" s="38">
        <f t="shared" si="0"/>
        <v>51</v>
      </c>
      <c r="B54" s="56" t="s">
        <v>541</v>
      </c>
      <c r="C54" s="41">
        <v>39377</v>
      </c>
      <c r="D54" s="38" t="s">
        <v>930</v>
      </c>
      <c r="E54" s="38">
        <v>18</v>
      </c>
      <c r="F54" s="51">
        <v>50</v>
      </c>
      <c r="G54" s="6"/>
      <c r="H54" s="6"/>
      <c r="I54" s="7"/>
      <c r="J54" s="7"/>
    </row>
    <row r="55" spans="1:10" x14ac:dyDescent="0.25">
      <c r="A55" s="38">
        <f t="shared" si="0"/>
        <v>52</v>
      </c>
      <c r="B55" s="56" t="s">
        <v>471</v>
      </c>
      <c r="C55" s="41">
        <v>40427</v>
      </c>
      <c r="D55" s="38" t="s">
        <v>931</v>
      </c>
      <c r="E55" s="38">
        <v>15</v>
      </c>
      <c r="F55" s="51">
        <v>50</v>
      </c>
      <c r="G55" s="6"/>
      <c r="H55" s="6"/>
      <c r="I55" s="7"/>
      <c r="J55" s="7"/>
    </row>
    <row r="56" spans="1:10" x14ac:dyDescent="0.25">
      <c r="A56" s="38">
        <f t="shared" si="0"/>
        <v>53</v>
      </c>
      <c r="B56" s="56" t="s">
        <v>500</v>
      </c>
      <c r="C56" s="41">
        <v>39357</v>
      </c>
      <c r="D56" s="38" t="s">
        <v>932</v>
      </c>
      <c r="E56" s="38">
        <v>18</v>
      </c>
      <c r="F56" s="51">
        <v>50</v>
      </c>
      <c r="G56" s="6"/>
      <c r="H56" s="6"/>
      <c r="I56" s="7"/>
      <c r="J56" s="7"/>
    </row>
    <row r="57" spans="1:10" x14ac:dyDescent="0.25">
      <c r="A57" s="38">
        <f t="shared" si="0"/>
        <v>54</v>
      </c>
      <c r="B57" s="56" t="s">
        <v>446</v>
      </c>
      <c r="C57" s="41">
        <v>43262</v>
      </c>
      <c r="D57" s="38" t="s">
        <v>933</v>
      </c>
      <c r="E57" s="38">
        <v>7</v>
      </c>
      <c r="F57" s="51">
        <v>30</v>
      </c>
      <c r="G57" s="6"/>
      <c r="H57" s="6"/>
      <c r="I57" s="7"/>
      <c r="J57" s="7"/>
    </row>
    <row r="58" spans="1:10" x14ac:dyDescent="0.25">
      <c r="A58" s="38">
        <f t="shared" si="0"/>
        <v>55</v>
      </c>
      <c r="B58" s="56" t="s">
        <v>544</v>
      </c>
      <c r="C58" s="41">
        <v>41547</v>
      </c>
      <c r="D58" s="38" t="s">
        <v>934</v>
      </c>
      <c r="E58" s="38">
        <v>12</v>
      </c>
      <c r="F58" s="51">
        <v>40</v>
      </c>
      <c r="G58" s="6"/>
      <c r="H58" s="6"/>
      <c r="I58" s="7"/>
      <c r="J58" s="7"/>
    </row>
    <row r="59" spans="1:10" x14ac:dyDescent="0.25">
      <c r="A59" s="38">
        <f t="shared" si="0"/>
        <v>56</v>
      </c>
      <c r="B59" s="56" t="s">
        <v>935</v>
      </c>
      <c r="C59" s="41">
        <v>44774</v>
      </c>
      <c r="D59" s="38" t="s">
        <v>936</v>
      </c>
      <c r="E59" s="38">
        <v>3</v>
      </c>
      <c r="F59" s="51">
        <v>10</v>
      </c>
      <c r="G59" s="6"/>
      <c r="H59" s="6"/>
      <c r="I59" s="7"/>
      <c r="J59" s="7"/>
    </row>
    <row r="60" spans="1:10" x14ac:dyDescent="0.25">
      <c r="A60" s="38">
        <f t="shared" si="0"/>
        <v>57</v>
      </c>
      <c r="B60" s="56" t="s">
        <v>512</v>
      </c>
      <c r="C60" s="41">
        <v>40149</v>
      </c>
      <c r="D60" s="38" t="s">
        <v>937</v>
      </c>
      <c r="E60" s="38">
        <v>16</v>
      </c>
      <c r="F60" s="51">
        <v>50</v>
      </c>
      <c r="G60" s="6"/>
      <c r="H60" s="6"/>
      <c r="I60" s="7"/>
      <c r="J60" s="7"/>
    </row>
    <row r="61" spans="1:10" x14ac:dyDescent="0.25">
      <c r="A61" s="38">
        <f t="shared" si="0"/>
        <v>58</v>
      </c>
      <c r="B61" s="56" t="s">
        <v>546</v>
      </c>
      <c r="C61" s="41">
        <v>42328</v>
      </c>
      <c r="D61" s="38" t="s">
        <v>938</v>
      </c>
      <c r="E61" s="38">
        <v>10</v>
      </c>
      <c r="F61" s="51">
        <v>40</v>
      </c>
      <c r="G61" s="6"/>
      <c r="H61" s="6"/>
      <c r="I61" s="7"/>
      <c r="J61" s="7"/>
    </row>
    <row r="62" spans="1:10" x14ac:dyDescent="0.25">
      <c r="A62" s="38">
        <f t="shared" si="0"/>
        <v>59</v>
      </c>
      <c r="B62" s="56" t="s">
        <v>567</v>
      </c>
      <c r="C62" s="41">
        <v>36495</v>
      </c>
      <c r="D62" s="38" t="s">
        <v>939</v>
      </c>
      <c r="E62" s="38">
        <v>26</v>
      </c>
      <c r="F62" s="51">
        <v>50</v>
      </c>
      <c r="G62" s="6"/>
      <c r="H62" s="6"/>
      <c r="I62" s="7"/>
      <c r="J62" s="7"/>
    </row>
    <row r="63" spans="1:10" x14ac:dyDescent="0.25">
      <c r="A63" s="38">
        <f t="shared" si="0"/>
        <v>60</v>
      </c>
      <c r="B63" s="56" t="s">
        <v>940</v>
      </c>
      <c r="C63" s="41">
        <v>45371</v>
      </c>
      <c r="D63" s="38" t="s">
        <v>941</v>
      </c>
      <c r="E63" s="38">
        <v>1</v>
      </c>
      <c r="F63" s="51">
        <v>0</v>
      </c>
      <c r="G63" s="6"/>
      <c r="H63" s="6"/>
      <c r="I63" s="7"/>
      <c r="J63" s="7"/>
    </row>
    <row r="64" spans="1:10" x14ac:dyDescent="0.25">
      <c r="A64" s="38">
        <f t="shared" si="0"/>
        <v>61</v>
      </c>
      <c r="B64" s="56" t="s">
        <v>942</v>
      </c>
      <c r="C64" s="41">
        <v>40655</v>
      </c>
      <c r="D64" s="38" t="s">
        <v>943</v>
      </c>
      <c r="E64" s="38">
        <v>14</v>
      </c>
      <c r="F64" s="51">
        <v>40</v>
      </c>
      <c r="G64" s="6"/>
      <c r="H64" s="6"/>
      <c r="I64" s="7"/>
      <c r="J64" s="7"/>
    </row>
    <row r="65" spans="1:10" x14ac:dyDescent="0.25">
      <c r="A65" s="38">
        <f t="shared" si="0"/>
        <v>62</v>
      </c>
      <c r="B65" s="56" t="s">
        <v>511</v>
      </c>
      <c r="C65" s="41">
        <v>38238</v>
      </c>
      <c r="D65" s="38" t="s">
        <v>944</v>
      </c>
      <c r="E65" s="38">
        <v>21</v>
      </c>
      <c r="F65" s="51">
        <v>50</v>
      </c>
      <c r="G65" s="6"/>
      <c r="H65" s="6"/>
      <c r="I65" s="7"/>
      <c r="J65" s="7"/>
    </row>
    <row r="66" spans="1:10" x14ac:dyDescent="0.25">
      <c r="A66" s="38">
        <f t="shared" si="0"/>
        <v>63</v>
      </c>
      <c r="B66" s="56" t="s">
        <v>573</v>
      </c>
      <c r="C66" s="41">
        <v>35390</v>
      </c>
      <c r="D66" s="38" t="s">
        <v>945</v>
      </c>
      <c r="E66" s="38">
        <v>29</v>
      </c>
      <c r="F66" s="51">
        <v>50</v>
      </c>
      <c r="G66" s="6"/>
      <c r="H66" s="6"/>
      <c r="I66" s="7"/>
      <c r="J66" s="7"/>
    </row>
    <row r="67" spans="1:10" x14ac:dyDescent="0.25">
      <c r="A67" s="38">
        <f t="shared" si="0"/>
        <v>64</v>
      </c>
      <c r="B67" s="56" t="s">
        <v>497</v>
      </c>
      <c r="C67" s="41">
        <v>36312</v>
      </c>
      <c r="D67" s="38" t="s">
        <v>946</v>
      </c>
      <c r="E67" s="38">
        <v>26</v>
      </c>
      <c r="F67" s="51">
        <v>50</v>
      </c>
      <c r="G67" s="6"/>
      <c r="H67" s="6"/>
      <c r="I67" s="7"/>
      <c r="J67" s="7"/>
    </row>
    <row r="68" spans="1:10" x14ac:dyDescent="0.25">
      <c r="A68" s="38">
        <f t="shared" si="0"/>
        <v>65</v>
      </c>
      <c r="B68" s="56" t="s">
        <v>530</v>
      </c>
      <c r="C68" s="41">
        <v>41328</v>
      </c>
      <c r="D68" s="38" t="s">
        <v>947</v>
      </c>
      <c r="E68" s="38">
        <v>12</v>
      </c>
      <c r="F68" s="51">
        <v>40</v>
      </c>
      <c r="G68" s="6"/>
      <c r="H68" s="6"/>
      <c r="I68" s="7"/>
      <c r="J68" s="7"/>
    </row>
    <row r="69" spans="1:10" x14ac:dyDescent="0.25">
      <c r="A69" s="38">
        <f t="shared" si="0"/>
        <v>66</v>
      </c>
      <c r="B69" s="56" t="s">
        <v>481</v>
      </c>
      <c r="C69" s="41">
        <v>42843</v>
      </c>
      <c r="D69" s="38" t="s">
        <v>948</v>
      </c>
      <c r="E69" s="38">
        <v>8</v>
      </c>
      <c r="F69" s="51">
        <v>30</v>
      </c>
      <c r="G69" s="6"/>
      <c r="H69" s="6"/>
      <c r="I69" s="7"/>
      <c r="J69" s="7"/>
    </row>
    <row r="70" spans="1:10" x14ac:dyDescent="0.25">
      <c r="A70" s="38">
        <f t="shared" ref="A70:A122" si="1">+A69+1</f>
        <v>67</v>
      </c>
      <c r="B70" s="56" t="s">
        <v>493</v>
      </c>
      <c r="C70" s="41">
        <v>40377</v>
      </c>
      <c r="D70" s="38" t="s">
        <v>949</v>
      </c>
      <c r="E70" s="38">
        <v>15</v>
      </c>
      <c r="F70" s="51">
        <v>50</v>
      </c>
      <c r="G70" s="6"/>
      <c r="H70" s="6"/>
      <c r="I70" s="7"/>
      <c r="J70" s="7"/>
    </row>
    <row r="71" spans="1:10" x14ac:dyDescent="0.25">
      <c r="A71" s="38">
        <f t="shared" si="1"/>
        <v>68</v>
      </c>
      <c r="B71" s="56" t="s">
        <v>441</v>
      </c>
      <c r="C71" s="41">
        <v>40080</v>
      </c>
      <c r="D71" s="38" t="s">
        <v>950</v>
      </c>
      <c r="E71" s="38">
        <v>16</v>
      </c>
      <c r="F71" s="51">
        <v>50</v>
      </c>
      <c r="G71" s="6"/>
      <c r="H71" s="6"/>
      <c r="I71" s="7"/>
      <c r="J71" s="7"/>
    </row>
    <row r="72" spans="1:10" x14ac:dyDescent="0.25">
      <c r="A72" s="38">
        <f t="shared" si="1"/>
        <v>69</v>
      </c>
      <c r="B72" s="56" t="s">
        <v>479</v>
      </c>
      <c r="C72" s="41">
        <v>39540</v>
      </c>
      <c r="D72" s="38" t="s">
        <v>951</v>
      </c>
      <c r="E72" s="38">
        <v>17</v>
      </c>
      <c r="F72" s="51">
        <v>50</v>
      </c>
      <c r="G72" s="6"/>
      <c r="H72" s="6"/>
      <c r="I72" s="7"/>
      <c r="J72" s="7"/>
    </row>
    <row r="73" spans="1:10" x14ac:dyDescent="0.25">
      <c r="A73" s="38">
        <f t="shared" si="1"/>
        <v>70</v>
      </c>
      <c r="B73" s="56" t="s">
        <v>537</v>
      </c>
      <c r="C73" s="41">
        <v>41603</v>
      </c>
      <c r="D73" s="38" t="s">
        <v>952</v>
      </c>
      <c r="E73" s="38">
        <v>12</v>
      </c>
      <c r="F73" s="51">
        <v>40</v>
      </c>
      <c r="G73" s="6"/>
      <c r="H73" s="6"/>
      <c r="I73" s="7"/>
      <c r="J73" s="7"/>
    </row>
    <row r="74" spans="1:10" x14ac:dyDescent="0.25">
      <c r="A74" s="38">
        <f t="shared" si="1"/>
        <v>71</v>
      </c>
      <c r="B74" s="56" t="s">
        <v>517</v>
      </c>
      <c r="C74" s="41">
        <v>42117</v>
      </c>
      <c r="D74" s="38" t="s">
        <v>953</v>
      </c>
      <c r="E74" s="38">
        <v>10</v>
      </c>
      <c r="F74" s="51">
        <v>40</v>
      </c>
      <c r="G74" s="6"/>
      <c r="H74" s="6"/>
      <c r="I74" s="7"/>
      <c r="J74" s="7"/>
    </row>
    <row r="75" spans="1:10" x14ac:dyDescent="0.25">
      <c r="A75" s="38">
        <f t="shared" si="1"/>
        <v>72</v>
      </c>
      <c r="B75" s="56" t="s">
        <v>954</v>
      </c>
      <c r="C75" s="41">
        <v>43850</v>
      </c>
      <c r="D75" s="38" t="s">
        <v>955</v>
      </c>
      <c r="E75" s="38">
        <v>6</v>
      </c>
      <c r="F75" s="51">
        <v>20</v>
      </c>
      <c r="G75" s="6"/>
      <c r="H75" s="6"/>
      <c r="I75" s="7"/>
      <c r="J75" s="7"/>
    </row>
    <row r="76" spans="1:10" x14ac:dyDescent="0.25">
      <c r="A76" s="38">
        <f t="shared" si="1"/>
        <v>73</v>
      </c>
      <c r="B76" s="56" t="s">
        <v>473</v>
      </c>
      <c r="C76" s="41">
        <v>36545</v>
      </c>
      <c r="D76" s="38" t="s">
        <v>956</v>
      </c>
      <c r="E76" s="38">
        <v>26</v>
      </c>
      <c r="F76" s="51">
        <v>50</v>
      </c>
      <c r="G76" s="6"/>
      <c r="H76" s="6"/>
      <c r="I76" s="7"/>
      <c r="J76" s="7"/>
    </row>
    <row r="77" spans="1:10" x14ac:dyDescent="0.25">
      <c r="A77" s="38">
        <f t="shared" si="1"/>
        <v>74</v>
      </c>
      <c r="B77" s="56" t="s">
        <v>957</v>
      </c>
      <c r="C77" s="41">
        <v>45922</v>
      </c>
      <c r="D77" s="38" t="s">
        <v>958</v>
      </c>
      <c r="E77" s="38">
        <v>0</v>
      </c>
      <c r="F77" s="51">
        <v>0</v>
      </c>
      <c r="G77" s="6"/>
      <c r="H77" s="6"/>
      <c r="I77" s="7"/>
      <c r="J77" s="7"/>
    </row>
    <row r="78" spans="1:10" x14ac:dyDescent="0.25">
      <c r="A78" s="38">
        <f t="shared" si="1"/>
        <v>75</v>
      </c>
      <c r="B78" s="56" t="s">
        <v>575</v>
      </c>
      <c r="C78" s="41">
        <v>41033</v>
      </c>
      <c r="D78" s="38" t="s">
        <v>959</v>
      </c>
      <c r="E78" s="38">
        <v>13</v>
      </c>
      <c r="F78" s="51">
        <v>40</v>
      </c>
      <c r="G78" s="6"/>
      <c r="H78" s="6"/>
      <c r="I78" s="7"/>
      <c r="J78" s="7"/>
    </row>
    <row r="79" spans="1:10" x14ac:dyDescent="0.25">
      <c r="A79" s="38">
        <f t="shared" si="1"/>
        <v>76</v>
      </c>
      <c r="B79" s="56" t="s">
        <v>960</v>
      </c>
      <c r="C79" s="41">
        <v>42117</v>
      </c>
      <c r="D79" s="38" t="s">
        <v>953</v>
      </c>
      <c r="E79" s="38">
        <v>10</v>
      </c>
      <c r="F79" s="51">
        <v>40</v>
      </c>
      <c r="G79" s="6"/>
      <c r="H79" s="6"/>
      <c r="I79" s="7"/>
      <c r="J79" s="7"/>
    </row>
    <row r="80" spans="1:10" x14ac:dyDescent="0.25">
      <c r="A80" s="38">
        <f t="shared" si="1"/>
        <v>77</v>
      </c>
      <c r="B80" s="56" t="s">
        <v>539</v>
      </c>
      <c r="C80" s="41">
        <v>37099</v>
      </c>
      <c r="D80" s="38" t="s">
        <v>961</v>
      </c>
      <c r="E80" s="38">
        <v>24</v>
      </c>
      <c r="F80" s="51">
        <v>50</v>
      </c>
      <c r="G80" s="6"/>
      <c r="H80" s="6"/>
      <c r="I80" s="7"/>
      <c r="J80" s="7"/>
    </row>
    <row r="81" spans="1:10" x14ac:dyDescent="0.25">
      <c r="A81" s="38">
        <f t="shared" si="1"/>
        <v>78</v>
      </c>
      <c r="B81" s="56" t="s">
        <v>583</v>
      </c>
      <c r="C81" s="41">
        <v>37098</v>
      </c>
      <c r="D81" s="38" t="s">
        <v>962</v>
      </c>
      <c r="E81" s="38">
        <v>24</v>
      </c>
      <c r="F81" s="51">
        <v>50</v>
      </c>
      <c r="G81" s="6"/>
      <c r="H81" s="6"/>
      <c r="I81" s="7"/>
      <c r="J81" s="7"/>
    </row>
    <row r="82" spans="1:10" x14ac:dyDescent="0.25">
      <c r="A82" s="38">
        <f t="shared" si="1"/>
        <v>79</v>
      </c>
      <c r="B82" s="56" t="s">
        <v>963</v>
      </c>
      <c r="C82" s="41">
        <v>45896</v>
      </c>
      <c r="D82" s="38" t="s">
        <v>964</v>
      </c>
      <c r="E82" s="38">
        <v>0</v>
      </c>
      <c r="F82" s="51">
        <v>0</v>
      </c>
      <c r="G82" s="6"/>
      <c r="H82" s="6"/>
      <c r="I82" s="7"/>
      <c r="J82" s="7"/>
    </row>
    <row r="83" spans="1:10" x14ac:dyDescent="0.25">
      <c r="A83" s="38">
        <f t="shared" si="1"/>
        <v>80</v>
      </c>
      <c r="B83" s="56" t="s">
        <v>469</v>
      </c>
      <c r="C83" s="41">
        <v>43340</v>
      </c>
      <c r="D83" s="38" t="s">
        <v>965</v>
      </c>
      <c r="E83" s="38">
        <v>7</v>
      </c>
      <c r="F83" s="51">
        <v>30</v>
      </c>
      <c r="G83" s="6"/>
      <c r="H83" s="6"/>
      <c r="I83" s="7"/>
      <c r="J83" s="7"/>
    </row>
    <row r="84" spans="1:10" x14ac:dyDescent="0.25">
      <c r="A84" s="38">
        <f t="shared" si="1"/>
        <v>81</v>
      </c>
      <c r="B84" s="56" t="s">
        <v>688</v>
      </c>
      <c r="C84" s="41">
        <v>45909</v>
      </c>
      <c r="D84" s="38" t="s">
        <v>966</v>
      </c>
      <c r="E84" s="38">
        <v>0</v>
      </c>
      <c r="F84" s="51">
        <v>0</v>
      </c>
      <c r="G84" s="6"/>
      <c r="H84" s="6"/>
      <c r="I84" s="7"/>
      <c r="J84" s="7"/>
    </row>
    <row r="85" spans="1:10" x14ac:dyDescent="0.25">
      <c r="A85" s="38">
        <f t="shared" si="1"/>
        <v>82</v>
      </c>
      <c r="B85" s="56" t="s">
        <v>507</v>
      </c>
      <c r="C85" s="41">
        <v>35977</v>
      </c>
      <c r="D85" s="38" t="s">
        <v>967</v>
      </c>
      <c r="E85" s="38">
        <v>27</v>
      </c>
      <c r="F85" s="51">
        <v>50</v>
      </c>
      <c r="G85" s="6"/>
      <c r="H85" s="6"/>
      <c r="I85" s="7"/>
      <c r="J85" s="7"/>
    </row>
    <row r="86" spans="1:10" x14ac:dyDescent="0.25">
      <c r="A86" s="38">
        <f t="shared" si="1"/>
        <v>83</v>
      </c>
      <c r="B86" s="56" t="s">
        <v>482</v>
      </c>
      <c r="C86" s="41">
        <v>38880</v>
      </c>
      <c r="D86" s="38" t="s">
        <v>968</v>
      </c>
      <c r="E86" s="38">
        <v>19</v>
      </c>
      <c r="F86" s="51">
        <v>50</v>
      </c>
      <c r="G86" s="6"/>
      <c r="H86" s="6"/>
      <c r="I86" s="7"/>
      <c r="J86" s="7"/>
    </row>
    <row r="87" spans="1:10" x14ac:dyDescent="0.25">
      <c r="A87" s="38">
        <f t="shared" si="1"/>
        <v>84</v>
      </c>
      <c r="B87" s="56" t="s">
        <v>452</v>
      </c>
      <c r="C87" s="41">
        <v>34568</v>
      </c>
      <c r="D87" s="38" t="s">
        <v>969</v>
      </c>
      <c r="E87" s="38">
        <v>31</v>
      </c>
      <c r="F87" s="51">
        <v>50</v>
      </c>
      <c r="G87" s="6"/>
      <c r="H87" s="6"/>
      <c r="I87" s="7"/>
      <c r="J87" s="7"/>
    </row>
    <row r="88" spans="1:10" x14ac:dyDescent="0.25">
      <c r="A88" s="38">
        <f t="shared" si="1"/>
        <v>85</v>
      </c>
      <c r="B88" s="56" t="s">
        <v>526</v>
      </c>
      <c r="C88" s="41">
        <v>33798</v>
      </c>
      <c r="D88" s="38" t="s">
        <v>970</v>
      </c>
      <c r="E88" s="38">
        <v>33</v>
      </c>
      <c r="F88" s="51">
        <v>50</v>
      </c>
      <c r="G88" s="6"/>
      <c r="H88" s="6"/>
      <c r="I88" s="7"/>
      <c r="J88" s="7"/>
    </row>
    <row r="89" spans="1:10" x14ac:dyDescent="0.25">
      <c r="A89" s="38">
        <f t="shared" si="1"/>
        <v>86</v>
      </c>
      <c r="B89" s="56" t="s">
        <v>582</v>
      </c>
      <c r="C89" s="41">
        <v>36914</v>
      </c>
      <c r="D89" s="38" t="s">
        <v>971</v>
      </c>
      <c r="E89" s="38">
        <v>25</v>
      </c>
      <c r="F89" s="51">
        <v>50</v>
      </c>
      <c r="G89" s="6"/>
      <c r="H89" s="6"/>
      <c r="I89" s="7"/>
      <c r="J89" s="7"/>
    </row>
    <row r="90" spans="1:10" x14ac:dyDescent="0.25">
      <c r="A90" s="38">
        <f t="shared" si="1"/>
        <v>87</v>
      </c>
      <c r="B90" s="56" t="s">
        <v>513</v>
      </c>
      <c r="C90" s="41">
        <v>40133</v>
      </c>
      <c r="D90" s="38" t="s">
        <v>972</v>
      </c>
      <c r="E90" s="38">
        <v>16</v>
      </c>
      <c r="F90" s="51">
        <v>50</v>
      </c>
      <c r="G90" s="6"/>
      <c r="H90" s="6"/>
      <c r="I90" s="7"/>
      <c r="J90" s="7"/>
    </row>
    <row r="91" spans="1:10" x14ac:dyDescent="0.25">
      <c r="A91" s="38">
        <f t="shared" si="1"/>
        <v>88</v>
      </c>
      <c r="B91" s="56" t="s">
        <v>973</v>
      </c>
      <c r="C91" s="41">
        <v>30474</v>
      </c>
      <c r="D91" s="38" t="s">
        <v>974</v>
      </c>
      <c r="E91" s="38">
        <v>42</v>
      </c>
      <c r="F91" s="51">
        <v>50</v>
      </c>
      <c r="G91" s="6"/>
      <c r="H91" s="6"/>
      <c r="I91" s="7"/>
      <c r="J91" s="7"/>
    </row>
    <row r="92" spans="1:10" x14ac:dyDescent="0.25">
      <c r="A92" s="38">
        <f t="shared" si="1"/>
        <v>89</v>
      </c>
      <c r="B92" s="56" t="s">
        <v>571</v>
      </c>
      <c r="C92" s="41">
        <v>34418</v>
      </c>
      <c r="D92" s="38" t="s">
        <v>975</v>
      </c>
      <c r="E92" s="38">
        <v>31</v>
      </c>
      <c r="F92" s="51">
        <v>50</v>
      </c>
      <c r="G92" s="6"/>
      <c r="H92" s="6"/>
      <c r="I92" s="7"/>
      <c r="J92" s="7"/>
    </row>
    <row r="93" spans="1:10" x14ac:dyDescent="0.25">
      <c r="A93" s="38">
        <f t="shared" si="1"/>
        <v>90</v>
      </c>
      <c r="B93" s="56" t="s">
        <v>551</v>
      </c>
      <c r="C93" s="41">
        <v>38811</v>
      </c>
      <c r="D93" s="38" t="s">
        <v>976</v>
      </c>
      <c r="E93" s="38">
        <v>19</v>
      </c>
      <c r="F93" s="51">
        <v>50</v>
      </c>
      <c r="G93" s="6"/>
      <c r="H93" s="6"/>
      <c r="I93" s="7"/>
      <c r="J93" s="7"/>
    </row>
    <row r="94" spans="1:10" x14ac:dyDescent="0.25">
      <c r="A94" s="38">
        <f t="shared" si="1"/>
        <v>91</v>
      </c>
      <c r="B94" s="56" t="s">
        <v>514</v>
      </c>
      <c r="C94" s="41">
        <v>39225</v>
      </c>
      <c r="D94" s="38" t="s">
        <v>977</v>
      </c>
      <c r="E94" s="38">
        <v>18</v>
      </c>
      <c r="F94" s="51">
        <v>50</v>
      </c>
      <c r="G94" s="6"/>
      <c r="H94" s="6"/>
      <c r="I94" s="7"/>
      <c r="J94" s="7"/>
    </row>
    <row r="95" spans="1:10" x14ac:dyDescent="0.25">
      <c r="A95" s="38">
        <f t="shared" si="1"/>
        <v>92</v>
      </c>
      <c r="B95" s="56" t="s">
        <v>978</v>
      </c>
      <c r="C95" s="41">
        <v>36520</v>
      </c>
      <c r="D95" s="38" t="s">
        <v>979</v>
      </c>
      <c r="E95" s="38">
        <v>26</v>
      </c>
      <c r="F95" s="51">
        <v>50</v>
      </c>
      <c r="G95" s="6"/>
      <c r="H95" s="6"/>
      <c r="I95" s="7"/>
      <c r="J95" s="7"/>
    </row>
    <row r="96" spans="1:10" x14ac:dyDescent="0.25">
      <c r="A96" s="38">
        <f t="shared" si="1"/>
        <v>93</v>
      </c>
      <c r="B96" s="56" t="s">
        <v>576</v>
      </c>
      <c r="C96" s="41">
        <v>35067</v>
      </c>
      <c r="D96" s="38" t="s">
        <v>980</v>
      </c>
      <c r="E96" s="38">
        <v>30</v>
      </c>
      <c r="F96" s="51">
        <v>50</v>
      </c>
      <c r="G96" s="6"/>
      <c r="H96" s="6"/>
      <c r="I96" s="7"/>
      <c r="J96" s="7"/>
    </row>
    <row r="97" spans="1:10" x14ac:dyDescent="0.25">
      <c r="A97" s="38">
        <f t="shared" si="1"/>
        <v>94</v>
      </c>
      <c r="B97" s="56" t="s">
        <v>579</v>
      </c>
      <c r="C97" s="41">
        <v>39527</v>
      </c>
      <c r="D97" s="38" t="s">
        <v>981</v>
      </c>
      <c r="E97" s="38">
        <v>17</v>
      </c>
      <c r="F97" s="51">
        <v>50</v>
      </c>
      <c r="G97" s="6"/>
      <c r="H97" s="6"/>
      <c r="I97" s="7"/>
      <c r="J97" s="7"/>
    </row>
    <row r="98" spans="1:10" x14ac:dyDescent="0.25">
      <c r="A98" s="38">
        <f t="shared" si="1"/>
        <v>95</v>
      </c>
      <c r="B98" s="56" t="s">
        <v>438</v>
      </c>
      <c r="C98" s="41">
        <v>39795</v>
      </c>
      <c r="D98" s="38" t="s">
        <v>982</v>
      </c>
      <c r="E98" s="38">
        <v>17</v>
      </c>
      <c r="F98" s="51">
        <v>50</v>
      </c>
      <c r="G98" s="6"/>
      <c r="H98" s="6"/>
      <c r="I98" s="7"/>
      <c r="J98" s="7"/>
    </row>
    <row r="99" spans="1:10" x14ac:dyDescent="0.25">
      <c r="A99" s="38">
        <f t="shared" si="1"/>
        <v>96</v>
      </c>
      <c r="B99" s="56" t="s">
        <v>525</v>
      </c>
      <c r="C99" s="41">
        <v>42835</v>
      </c>
      <c r="D99" s="38" t="s">
        <v>983</v>
      </c>
      <c r="E99" s="38">
        <v>8</v>
      </c>
      <c r="F99" s="51">
        <v>30</v>
      </c>
      <c r="G99" s="6"/>
      <c r="H99" s="6"/>
      <c r="I99" s="7"/>
      <c r="J99" s="7"/>
    </row>
    <row r="100" spans="1:10" x14ac:dyDescent="0.25">
      <c r="A100" s="38">
        <f t="shared" si="1"/>
        <v>97</v>
      </c>
      <c r="B100" s="56" t="s">
        <v>518</v>
      </c>
      <c r="C100" s="41">
        <v>36151</v>
      </c>
      <c r="D100" s="38" t="s">
        <v>984</v>
      </c>
      <c r="E100" s="38">
        <v>27</v>
      </c>
      <c r="F100" s="51">
        <v>50</v>
      </c>
      <c r="G100" s="6"/>
      <c r="H100" s="6"/>
      <c r="I100" s="7"/>
      <c r="J100" s="7"/>
    </row>
    <row r="101" spans="1:10" x14ac:dyDescent="0.25">
      <c r="A101" s="38">
        <f t="shared" si="1"/>
        <v>98</v>
      </c>
      <c r="B101" s="56" t="s">
        <v>532</v>
      </c>
      <c r="C101" s="41">
        <v>38380</v>
      </c>
      <c r="D101" s="38" t="s">
        <v>985</v>
      </c>
      <c r="E101" s="38">
        <v>20</v>
      </c>
      <c r="F101" s="51">
        <v>50</v>
      </c>
      <c r="G101" s="6"/>
      <c r="H101" s="6"/>
      <c r="I101" s="7"/>
      <c r="J101" s="7"/>
    </row>
    <row r="102" spans="1:10" x14ac:dyDescent="0.25">
      <c r="A102" s="38">
        <f t="shared" si="1"/>
        <v>99</v>
      </c>
      <c r="B102" s="56" t="s">
        <v>464</v>
      </c>
      <c r="C102" s="41">
        <v>38838</v>
      </c>
      <c r="D102" s="38" t="s">
        <v>986</v>
      </c>
      <c r="E102" s="38">
        <v>19</v>
      </c>
      <c r="F102" s="51">
        <v>50</v>
      </c>
      <c r="G102" s="6"/>
      <c r="H102" s="6"/>
      <c r="I102" s="7"/>
      <c r="J102" s="7"/>
    </row>
    <row r="103" spans="1:10" x14ac:dyDescent="0.25">
      <c r="A103" s="38">
        <f t="shared" si="1"/>
        <v>100</v>
      </c>
      <c r="B103" s="56" t="s">
        <v>568</v>
      </c>
      <c r="C103" s="41">
        <v>38999</v>
      </c>
      <c r="D103" s="38" t="s">
        <v>987</v>
      </c>
      <c r="E103" s="38">
        <v>19</v>
      </c>
      <c r="F103" s="51">
        <v>50</v>
      </c>
      <c r="G103" s="6"/>
      <c r="H103" s="6"/>
      <c r="I103" s="7"/>
      <c r="J103" s="7"/>
    </row>
    <row r="104" spans="1:10" x14ac:dyDescent="0.25">
      <c r="A104" s="38">
        <f t="shared" si="1"/>
        <v>101</v>
      </c>
      <c r="B104" s="56" t="s">
        <v>480</v>
      </c>
      <c r="C104" s="41">
        <v>41437</v>
      </c>
      <c r="D104" s="38" t="s">
        <v>988</v>
      </c>
      <c r="E104" s="38">
        <v>12</v>
      </c>
      <c r="F104" s="51">
        <v>40</v>
      </c>
      <c r="G104" s="6"/>
      <c r="H104" s="6"/>
      <c r="I104" s="7"/>
      <c r="J104" s="7"/>
    </row>
    <row r="105" spans="1:10" x14ac:dyDescent="0.25">
      <c r="A105" s="38">
        <f t="shared" si="1"/>
        <v>102</v>
      </c>
      <c r="B105" s="56" t="s">
        <v>554</v>
      </c>
      <c r="C105" s="41">
        <v>37089</v>
      </c>
      <c r="D105" s="38" t="s">
        <v>989</v>
      </c>
      <c r="E105" s="38">
        <v>24</v>
      </c>
      <c r="F105" s="51">
        <v>50</v>
      </c>
      <c r="G105" s="6"/>
      <c r="H105" s="6"/>
      <c r="I105" s="7"/>
      <c r="J105" s="7"/>
    </row>
    <row r="106" spans="1:10" x14ac:dyDescent="0.25">
      <c r="A106" s="38">
        <f t="shared" si="1"/>
        <v>103</v>
      </c>
      <c r="B106" s="56" t="s">
        <v>504</v>
      </c>
      <c r="C106" s="41">
        <v>41772</v>
      </c>
      <c r="D106" s="38" t="s">
        <v>990</v>
      </c>
      <c r="E106" s="38">
        <v>11</v>
      </c>
      <c r="F106" s="51">
        <v>40</v>
      </c>
      <c r="G106" s="6"/>
      <c r="H106" s="6"/>
      <c r="I106" s="7"/>
      <c r="J106" s="7"/>
    </row>
    <row r="107" spans="1:10" x14ac:dyDescent="0.25">
      <c r="A107" s="38">
        <f t="shared" si="1"/>
        <v>104</v>
      </c>
      <c r="B107" s="56" t="s">
        <v>545</v>
      </c>
      <c r="C107" s="41">
        <v>35052</v>
      </c>
      <c r="D107" s="38" t="s">
        <v>991</v>
      </c>
      <c r="E107" s="38">
        <v>30</v>
      </c>
      <c r="F107" s="51">
        <v>50</v>
      </c>
      <c r="G107" s="6"/>
      <c r="H107" s="6"/>
      <c r="I107" s="7"/>
      <c r="J107" s="7"/>
    </row>
    <row r="108" spans="1:10" x14ac:dyDescent="0.25">
      <c r="A108" s="38">
        <f t="shared" si="1"/>
        <v>105</v>
      </c>
      <c r="B108" s="56" t="s">
        <v>558</v>
      </c>
      <c r="C108" s="41">
        <v>37827</v>
      </c>
      <c r="D108" s="38" t="s">
        <v>992</v>
      </c>
      <c r="E108" s="38">
        <v>22</v>
      </c>
      <c r="F108" s="51">
        <v>50</v>
      </c>
      <c r="G108" s="6"/>
      <c r="H108" s="6"/>
      <c r="I108" s="7"/>
      <c r="J108" s="7"/>
    </row>
    <row r="109" spans="1:10" x14ac:dyDescent="0.25">
      <c r="A109" s="38">
        <f t="shared" si="1"/>
        <v>106</v>
      </c>
      <c r="B109" s="56" t="s">
        <v>501</v>
      </c>
      <c r="C109" s="41">
        <v>32155</v>
      </c>
      <c r="D109" s="38" t="s">
        <v>993</v>
      </c>
      <c r="E109" s="38">
        <v>38</v>
      </c>
      <c r="F109" s="51">
        <v>50</v>
      </c>
      <c r="G109" s="6"/>
      <c r="H109" s="6"/>
      <c r="I109" s="7"/>
      <c r="J109" s="7"/>
    </row>
    <row r="110" spans="1:10" x14ac:dyDescent="0.25">
      <c r="A110" s="38">
        <f t="shared" si="1"/>
        <v>107</v>
      </c>
      <c r="B110" s="56" t="s">
        <v>470</v>
      </c>
      <c r="C110" s="41">
        <v>40210</v>
      </c>
      <c r="D110" s="38" t="s">
        <v>994</v>
      </c>
      <c r="E110" s="38">
        <v>15</v>
      </c>
      <c r="F110" s="51">
        <v>50</v>
      </c>
      <c r="G110" s="6"/>
      <c r="H110" s="6"/>
      <c r="I110" s="7"/>
      <c r="J110" s="7"/>
    </row>
    <row r="111" spans="1:10" x14ac:dyDescent="0.25">
      <c r="A111" s="38">
        <f t="shared" si="1"/>
        <v>108</v>
      </c>
      <c r="B111" s="56" t="s">
        <v>580</v>
      </c>
      <c r="C111" s="41">
        <v>40239</v>
      </c>
      <c r="D111" s="38" t="s">
        <v>995</v>
      </c>
      <c r="E111" s="38">
        <v>15</v>
      </c>
      <c r="F111" s="51">
        <v>50</v>
      </c>
      <c r="G111" s="6"/>
      <c r="H111" s="6"/>
      <c r="I111" s="7"/>
      <c r="J111" s="7"/>
    </row>
    <row r="112" spans="1:10" x14ac:dyDescent="0.25">
      <c r="A112" s="38">
        <f t="shared" si="1"/>
        <v>109</v>
      </c>
      <c r="B112" s="56" t="s">
        <v>535</v>
      </c>
      <c r="C112" s="41">
        <v>36731</v>
      </c>
      <c r="D112" s="38" t="s">
        <v>996</v>
      </c>
      <c r="E112" s="38">
        <v>25</v>
      </c>
      <c r="F112" s="51">
        <v>50</v>
      </c>
      <c r="G112" s="6"/>
      <c r="H112" s="6"/>
      <c r="I112" s="7"/>
      <c r="J112" s="7"/>
    </row>
    <row r="113" spans="1:10" x14ac:dyDescent="0.25">
      <c r="A113" s="38">
        <f t="shared" si="1"/>
        <v>110</v>
      </c>
      <c r="B113" s="56" t="s">
        <v>453</v>
      </c>
      <c r="C113" s="41">
        <v>41178</v>
      </c>
      <c r="D113" s="38" t="s">
        <v>997</v>
      </c>
      <c r="E113" s="38">
        <v>13</v>
      </c>
      <c r="F113" s="51">
        <v>40</v>
      </c>
      <c r="G113" s="6"/>
      <c r="H113" s="6"/>
      <c r="I113" s="7"/>
      <c r="J113" s="7"/>
    </row>
    <row r="114" spans="1:10" x14ac:dyDescent="0.25">
      <c r="A114" s="38">
        <f t="shared" si="1"/>
        <v>111</v>
      </c>
      <c r="B114" s="56" t="s">
        <v>529</v>
      </c>
      <c r="C114" s="41">
        <v>38213</v>
      </c>
      <c r="D114" s="38" t="s">
        <v>998</v>
      </c>
      <c r="E114" s="38">
        <v>21</v>
      </c>
      <c r="F114" s="51">
        <v>50</v>
      </c>
      <c r="G114" s="6"/>
      <c r="H114" s="6"/>
      <c r="I114" s="7"/>
      <c r="J114" s="7"/>
    </row>
    <row r="115" spans="1:10" x14ac:dyDescent="0.25">
      <c r="A115" s="38">
        <f t="shared" si="1"/>
        <v>112</v>
      </c>
      <c r="B115" s="56" t="s">
        <v>564</v>
      </c>
      <c r="C115" s="41">
        <v>43263</v>
      </c>
      <c r="D115" s="38" t="s">
        <v>999</v>
      </c>
      <c r="E115" s="38">
        <v>7</v>
      </c>
      <c r="F115" s="51">
        <v>30</v>
      </c>
      <c r="G115" s="6"/>
      <c r="H115" s="6"/>
      <c r="I115" s="7"/>
      <c r="J115" s="7"/>
    </row>
    <row r="116" spans="1:10" x14ac:dyDescent="0.25">
      <c r="A116" s="38">
        <f t="shared" si="1"/>
        <v>113</v>
      </c>
      <c r="B116" s="56" t="s">
        <v>585</v>
      </c>
      <c r="C116" s="41">
        <v>42995</v>
      </c>
      <c r="D116" s="38" t="s">
        <v>1000</v>
      </c>
      <c r="E116" s="38">
        <v>8</v>
      </c>
      <c r="F116" s="51">
        <v>30</v>
      </c>
      <c r="G116" s="6"/>
      <c r="H116" s="6"/>
      <c r="I116" s="7"/>
      <c r="J116" s="7"/>
    </row>
    <row r="117" spans="1:10" x14ac:dyDescent="0.25">
      <c r="A117" s="38">
        <f t="shared" si="1"/>
        <v>114</v>
      </c>
      <c r="B117" s="56" t="s">
        <v>549</v>
      </c>
      <c r="C117" s="41">
        <v>34473</v>
      </c>
      <c r="D117" s="38" t="s">
        <v>1001</v>
      </c>
      <c r="E117" s="38">
        <v>31</v>
      </c>
      <c r="F117" s="51">
        <v>50</v>
      </c>
      <c r="G117" s="6"/>
      <c r="H117" s="6"/>
      <c r="I117" s="7"/>
      <c r="J117" s="7"/>
    </row>
    <row r="118" spans="1:10" x14ac:dyDescent="0.25">
      <c r="A118" s="38">
        <f t="shared" si="1"/>
        <v>115</v>
      </c>
      <c r="B118" s="56" t="s">
        <v>458</v>
      </c>
      <c r="C118" s="41">
        <v>37503</v>
      </c>
      <c r="D118" s="38" t="s">
        <v>1002</v>
      </c>
      <c r="E118" s="38">
        <v>23</v>
      </c>
      <c r="F118" s="51">
        <v>50</v>
      </c>
      <c r="G118" s="6"/>
      <c r="H118" s="6"/>
      <c r="I118" s="7"/>
      <c r="J118" s="7"/>
    </row>
    <row r="119" spans="1:10" x14ac:dyDescent="0.25">
      <c r="A119" s="38">
        <f t="shared" si="1"/>
        <v>116</v>
      </c>
      <c r="B119" s="56" t="s">
        <v>496</v>
      </c>
      <c r="C119" s="41">
        <v>39050</v>
      </c>
      <c r="D119" s="38" t="s">
        <v>1003</v>
      </c>
      <c r="E119" s="38">
        <v>19</v>
      </c>
      <c r="F119" s="51">
        <v>50</v>
      </c>
      <c r="G119" s="6"/>
      <c r="H119" s="6"/>
      <c r="I119" s="7"/>
      <c r="J119" s="7"/>
    </row>
    <row r="120" spans="1:10" x14ac:dyDescent="0.25">
      <c r="A120" s="38">
        <f t="shared" si="1"/>
        <v>117</v>
      </c>
      <c r="B120" s="56" t="s">
        <v>565</v>
      </c>
      <c r="C120" s="41">
        <v>37967</v>
      </c>
      <c r="D120" s="38" t="s">
        <v>1004</v>
      </c>
      <c r="E120" s="38">
        <v>22</v>
      </c>
      <c r="F120" s="51">
        <v>50</v>
      </c>
      <c r="G120" s="6"/>
      <c r="H120" s="6"/>
      <c r="I120" s="7"/>
      <c r="J120" s="7"/>
    </row>
    <row r="121" spans="1:10" x14ac:dyDescent="0.25">
      <c r="A121" s="38">
        <f t="shared" si="1"/>
        <v>118</v>
      </c>
      <c r="B121" s="56" t="s">
        <v>465</v>
      </c>
      <c r="C121" s="41">
        <v>39396</v>
      </c>
      <c r="D121" s="38" t="s">
        <v>1005</v>
      </c>
      <c r="E121" s="38">
        <v>18</v>
      </c>
      <c r="F121" s="51">
        <v>50</v>
      </c>
      <c r="G121" s="6"/>
      <c r="H121" s="6"/>
      <c r="I121" s="7"/>
      <c r="J121" s="7"/>
    </row>
    <row r="122" spans="1:10" x14ac:dyDescent="0.25">
      <c r="A122" s="38">
        <f t="shared" si="1"/>
        <v>119</v>
      </c>
      <c r="B122" s="56" t="s">
        <v>460</v>
      </c>
      <c r="C122" s="41">
        <v>41529</v>
      </c>
      <c r="D122" s="38" t="s">
        <v>1006</v>
      </c>
      <c r="E122" s="38">
        <v>12</v>
      </c>
      <c r="F122" s="51">
        <v>40</v>
      </c>
      <c r="G122" s="6"/>
      <c r="H122" s="6"/>
      <c r="I122" s="7"/>
      <c r="J122" s="7"/>
    </row>
  </sheetData>
  <autoFilter ref="A3:J122"/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2" sqref="G2:G3"/>
    </sheetView>
  </sheetViews>
  <sheetFormatPr defaultRowHeight="15" x14ac:dyDescent="0.25"/>
  <cols>
    <col min="2" max="2" width="36.85546875" style="43" customWidth="1"/>
    <col min="3" max="3" width="42.28515625" style="44" customWidth="1"/>
    <col min="4" max="4" width="11.85546875" style="45" customWidth="1"/>
    <col min="6" max="7" width="10.7109375" customWidth="1"/>
    <col min="8" max="9" width="12.5703125" customWidth="1"/>
    <col min="10" max="10" width="14.42578125" customWidth="1"/>
    <col min="11" max="11" width="20" customWidth="1"/>
  </cols>
  <sheetData>
    <row r="1" spans="1:11" ht="45.75" customHeight="1" x14ac:dyDescent="0.25">
      <c r="A1" s="60" t="s">
        <v>429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s="1" customFormat="1" ht="33.75" customHeight="1" x14ac:dyDescent="0.25">
      <c r="A2" s="61" t="s">
        <v>69</v>
      </c>
      <c r="B2" s="61" t="s">
        <v>430</v>
      </c>
      <c r="C2" s="61" t="s">
        <v>431</v>
      </c>
      <c r="D2" s="61" t="s">
        <v>432</v>
      </c>
      <c r="E2" s="61"/>
      <c r="F2" s="61" t="s">
        <v>1015</v>
      </c>
      <c r="G2" s="61" t="s">
        <v>1016</v>
      </c>
      <c r="H2" s="61" t="s">
        <v>433</v>
      </c>
      <c r="I2" s="62" t="s">
        <v>434</v>
      </c>
      <c r="J2" s="63"/>
      <c r="K2" s="61" t="s">
        <v>435</v>
      </c>
    </row>
    <row r="3" spans="1:11" ht="15.75" x14ac:dyDescent="0.25">
      <c r="A3" s="61"/>
      <c r="B3" s="61"/>
      <c r="C3" s="61"/>
      <c r="D3" s="34" t="s">
        <v>436</v>
      </c>
      <c r="E3" s="34" t="s">
        <v>437</v>
      </c>
      <c r="F3" s="61"/>
      <c r="G3" s="61"/>
      <c r="H3" s="61"/>
      <c r="I3" s="64"/>
      <c r="J3" s="65"/>
      <c r="K3" s="61"/>
    </row>
    <row r="4" spans="1:11" ht="15.75" x14ac:dyDescent="0.25">
      <c r="A4" s="35"/>
      <c r="B4" s="35"/>
      <c r="C4" s="35"/>
      <c r="D4" s="34"/>
      <c r="E4" s="34"/>
      <c r="F4" s="34"/>
      <c r="G4" s="34"/>
      <c r="H4" s="35"/>
      <c r="I4" s="36"/>
      <c r="J4" s="37"/>
      <c r="K4" s="35"/>
    </row>
    <row r="5" spans="1:11" x14ac:dyDescent="0.25">
      <c r="A5" s="38">
        <f>+IF(B5="","",SUBTOTAL(3,$B$5:B5))</f>
        <v>1</v>
      </c>
      <c r="B5" s="39" t="s">
        <v>438</v>
      </c>
      <c r="C5" s="40" t="s">
        <v>439</v>
      </c>
      <c r="D5" s="41">
        <v>45660</v>
      </c>
      <c r="E5" s="38">
        <v>2</v>
      </c>
      <c r="F5" s="41">
        <v>45663</v>
      </c>
      <c r="G5" s="41">
        <v>45691</v>
      </c>
      <c r="H5" s="38" t="s">
        <v>440</v>
      </c>
      <c r="I5" s="38"/>
      <c r="J5" s="42"/>
      <c r="K5" s="38"/>
    </row>
    <row r="6" spans="1:11" x14ac:dyDescent="0.25">
      <c r="A6" s="38">
        <f>+IF(B6="","",SUBTOTAL(3,$B$5:B6))</f>
        <v>2</v>
      </c>
      <c r="B6" s="39" t="s">
        <v>441</v>
      </c>
      <c r="C6" s="40" t="s">
        <v>442</v>
      </c>
      <c r="D6" s="41">
        <v>45660</v>
      </c>
      <c r="E6" s="38">
        <v>2</v>
      </c>
      <c r="F6" s="41">
        <v>45663</v>
      </c>
      <c r="G6" s="41">
        <v>45691</v>
      </c>
      <c r="H6" s="38" t="s">
        <v>440</v>
      </c>
      <c r="I6" s="38"/>
      <c r="J6" s="42"/>
      <c r="K6" s="38"/>
    </row>
    <row r="7" spans="1:11" x14ac:dyDescent="0.25">
      <c r="A7" s="38">
        <f>+IF(B7="","",SUBTOTAL(3,$B$5:B7))</f>
        <v>3</v>
      </c>
      <c r="B7" s="39" t="s">
        <v>443</v>
      </c>
      <c r="C7" s="40" t="s">
        <v>442</v>
      </c>
      <c r="D7" s="41">
        <v>45661</v>
      </c>
      <c r="E7" s="38">
        <v>4</v>
      </c>
      <c r="F7" s="41">
        <v>45670</v>
      </c>
      <c r="G7" s="41">
        <v>45701</v>
      </c>
      <c r="H7" s="38" t="s">
        <v>444</v>
      </c>
      <c r="I7" s="38" t="s">
        <v>445</v>
      </c>
      <c r="J7" s="42"/>
      <c r="K7" s="38" t="s">
        <v>329</v>
      </c>
    </row>
    <row r="8" spans="1:11" ht="45" x14ac:dyDescent="0.25">
      <c r="A8" s="38">
        <f>+IF(B8="","",SUBTOTAL(3,$B$5:B8))</f>
        <v>4</v>
      </c>
      <c r="B8" s="40" t="s">
        <v>446</v>
      </c>
      <c r="C8" s="40" t="s">
        <v>447</v>
      </c>
      <c r="D8" s="41">
        <v>45664</v>
      </c>
      <c r="E8" s="38">
        <v>5</v>
      </c>
      <c r="F8" s="41">
        <v>45665</v>
      </c>
      <c r="G8" s="41">
        <v>45694</v>
      </c>
      <c r="H8" s="38" t="s">
        <v>444</v>
      </c>
      <c r="I8" s="38" t="s">
        <v>445</v>
      </c>
      <c r="J8" s="42"/>
      <c r="K8" s="38" t="s">
        <v>330</v>
      </c>
    </row>
    <row r="9" spans="1:11" ht="30" x14ac:dyDescent="0.25">
      <c r="A9" s="38">
        <f>+IF(B9="","",SUBTOTAL(3,$B$5:B9))</f>
        <v>5</v>
      </c>
      <c r="B9" s="40" t="s">
        <v>448</v>
      </c>
      <c r="C9" s="40" t="s">
        <v>449</v>
      </c>
      <c r="D9" s="41">
        <v>45664</v>
      </c>
      <c r="E9" s="38">
        <v>5</v>
      </c>
      <c r="F9" s="41">
        <v>45670</v>
      </c>
      <c r="G9" s="41">
        <v>45699</v>
      </c>
      <c r="H9" s="38" t="s">
        <v>444</v>
      </c>
      <c r="I9" s="38" t="s">
        <v>445</v>
      </c>
      <c r="J9" s="42"/>
      <c r="K9" s="38" t="s">
        <v>331</v>
      </c>
    </row>
    <row r="10" spans="1:11" x14ac:dyDescent="0.25">
      <c r="A10" s="38">
        <f>+IF(B10="","",SUBTOTAL(3,$B$5:B10))</f>
        <v>6</v>
      </c>
      <c r="B10" s="39" t="s">
        <v>450</v>
      </c>
      <c r="C10" s="40" t="s">
        <v>451</v>
      </c>
      <c r="D10" s="41">
        <v>45665</v>
      </c>
      <c r="E10" s="38">
        <v>6</v>
      </c>
      <c r="F10" s="41">
        <v>45670</v>
      </c>
      <c r="G10" s="41">
        <v>45702</v>
      </c>
      <c r="H10" s="38" t="s">
        <v>440</v>
      </c>
      <c r="I10" s="38"/>
      <c r="J10" s="42"/>
      <c r="K10" s="38"/>
    </row>
    <row r="11" spans="1:11" x14ac:dyDescent="0.25">
      <c r="A11" s="38">
        <f>+IF(B11="","",SUBTOTAL(3,$B$5:B11))</f>
        <v>7</v>
      </c>
      <c r="B11" s="39" t="s">
        <v>452</v>
      </c>
      <c r="C11" s="40" t="s">
        <v>439</v>
      </c>
      <c r="D11" s="41">
        <v>45673</v>
      </c>
      <c r="E11" s="38">
        <v>7</v>
      </c>
      <c r="F11" s="41">
        <v>45684</v>
      </c>
      <c r="G11" s="41">
        <v>45719</v>
      </c>
      <c r="H11" s="38" t="s">
        <v>444</v>
      </c>
      <c r="I11" s="38" t="s">
        <v>445</v>
      </c>
      <c r="J11" s="42"/>
      <c r="K11" s="38" t="s">
        <v>332</v>
      </c>
    </row>
    <row r="12" spans="1:11" x14ac:dyDescent="0.25">
      <c r="A12" s="38">
        <f>+IF(B12="","",SUBTOTAL(3,$B$5:B12))</f>
        <v>8</v>
      </c>
      <c r="B12" s="39" t="s">
        <v>453</v>
      </c>
      <c r="C12" s="40" t="s">
        <v>439</v>
      </c>
      <c r="D12" s="41">
        <v>45673</v>
      </c>
      <c r="E12" s="38">
        <v>7</v>
      </c>
      <c r="F12" s="41">
        <v>45673</v>
      </c>
      <c r="G12" s="41">
        <v>45705</v>
      </c>
      <c r="H12" s="38" t="s">
        <v>444</v>
      </c>
      <c r="I12" s="38" t="s">
        <v>445</v>
      </c>
      <c r="J12" s="42"/>
      <c r="K12" s="38" t="s">
        <v>333</v>
      </c>
    </row>
    <row r="13" spans="1:11" ht="30" x14ac:dyDescent="0.25">
      <c r="A13" s="38">
        <f>+IF(B13="","",SUBTOTAL(3,$B$5:B13))</f>
        <v>9</v>
      </c>
      <c r="B13" s="39" t="s">
        <v>454</v>
      </c>
      <c r="C13" s="40" t="s">
        <v>451</v>
      </c>
      <c r="D13" s="41">
        <v>45673</v>
      </c>
      <c r="E13" s="38">
        <v>8</v>
      </c>
      <c r="F13" s="41">
        <v>45677</v>
      </c>
      <c r="G13" s="41">
        <v>45698</v>
      </c>
      <c r="H13" s="38" t="s">
        <v>444</v>
      </c>
      <c r="I13" s="38" t="s">
        <v>445</v>
      </c>
      <c r="J13" s="42" t="s">
        <v>455</v>
      </c>
      <c r="K13" s="38" t="s">
        <v>334</v>
      </c>
    </row>
    <row r="14" spans="1:11" ht="30" x14ac:dyDescent="0.25">
      <c r="A14" s="38">
        <f>+IF(B14="","",SUBTOTAL(3,$B$5:B14))</f>
        <v>10</v>
      </c>
      <c r="B14" s="39" t="s">
        <v>456</v>
      </c>
      <c r="C14" s="40" t="s">
        <v>457</v>
      </c>
      <c r="D14" s="41">
        <v>45680</v>
      </c>
      <c r="E14" s="38">
        <v>12</v>
      </c>
      <c r="F14" s="41">
        <v>45688</v>
      </c>
      <c r="G14" s="41">
        <v>45723</v>
      </c>
      <c r="H14" s="38" t="s">
        <v>444</v>
      </c>
      <c r="I14" s="38" t="s">
        <v>445</v>
      </c>
      <c r="J14" s="42"/>
      <c r="K14" s="38" t="s">
        <v>335</v>
      </c>
    </row>
    <row r="15" spans="1:11" ht="30" x14ac:dyDescent="0.25">
      <c r="A15" s="38">
        <f>+IF(B15="","",SUBTOTAL(3,$B$5:B15))</f>
        <v>11</v>
      </c>
      <c r="B15" s="39" t="s">
        <v>458</v>
      </c>
      <c r="C15" s="40" t="s">
        <v>439</v>
      </c>
      <c r="D15" s="41">
        <v>45681</v>
      </c>
      <c r="E15" s="38">
        <v>16</v>
      </c>
      <c r="F15" s="41">
        <v>45691</v>
      </c>
      <c r="G15" s="41">
        <v>45719</v>
      </c>
      <c r="H15" s="38" t="s">
        <v>440</v>
      </c>
      <c r="I15" s="38"/>
      <c r="J15" s="42"/>
      <c r="K15" s="38"/>
    </row>
    <row r="16" spans="1:11" x14ac:dyDescent="0.25">
      <c r="A16" s="38">
        <f>+IF(B16="","",SUBTOTAL(3,$B$5:B16))</f>
        <v>12</v>
      </c>
      <c r="B16" s="39" t="s">
        <v>459</v>
      </c>
      <c r="C16" s="40" t="s">
        <v>442</v>
      </c>
      <c r="D16" s="41">
        <v>45681</v>
      </c>
      <c r="E16" s="38">
        <v>16</v>
      </c>
      <c r="F16" s="41">
        <v>45691</v>
      </c>
      <c r="G16" s="41">
        <v>45719</v>
      </c>
      <c r="H16" s="38" t="s">
        <v>440</v>
      </c>
      <c r="I16" s="38"/>
      <c r="J16" s="42"/>
      <c r="K16" s="38"/>
    </row>
    <row r="17" spans="1:11" x14ac:dyDescent="0.25">
      <c r="A17" s="38">
        <f>+IF(B17="","",SUBTOTAL(3,$B$5:B17))</f>
        <v>13</v>
      </c>
      <c r="B17" s="39" t="s">
        <v>460</v>
      </c>
      <c r="C17" s="40" t="s">
        <v>439</v>
      </c>
      <c r="D17" s="41">
        <v>45681</v>
      </c>
      <c r="E17" s="38">
        <v>16</v>
      </c>
      <c r="F17" s="41">
        <v>45689</v>
      </c>
      <c r="G17" s="41">
        <v>45719</v>
      </c>
      <c r="H17" s="38" t="s">
        <v>440</v>
      </c>
      <c r="I17" s="38"/>
      <c r="J17" s="42"/>
      <c r="K17" s="38"/>
    </row>
    <row r="18" spans="1:11" ht="30" x14ac:dyDescent="0.25">
      <c r="A18" s="38">
        <f>+IF(B18="","",SUBTOTAL(3,$B$5:B18))</f>
        <v>14</v>
      </c>
      <c r="B18" s="39" t="s">
        <v>461</v>
      </c>
      <c r="C18" s="40" t="s">
        <v>462</v>
      </c>
      <c r="D18" s="41">
        <v>45687</v>
      </c>
      <c r="E18" s="38">
        <v>18</v>
      </c>
      <c r="F18" s="41">
        <v>45691</v>
      </c>
      <c r="G18" s="41">
        <v>45709</v>
      </c>
      <c r="H18" s="38" t="s">
        <v>444</v>
      </c>
      <c r="I18" s="38" t="s">
        <v>463</v>
      </c>
      <c r="J18" s="42"/>
      <c r="K18" s="38" t="s">
        <v>336</v>
      </c>
    </row>
    <row r="19" spans="1:11" x14ac:dyDescent="0.25">
      <c r="A19" s="38">
        <f>+IF(B19="","",SUBTOTAL(3,$B$5:B19))</f>
        <v>15</v>
      </c>
      <c r="B19" s="39" t="s">
        <v>464</v>
      </c>
      <c r="C19" s="40" t="s">
        <v>439</v>
      </c>
      <c r="D19" s="41">
        <v>45692</v>
      </c>
      <c r="E19" s="38">
        <v>22</v>
      </c>
      <c r="F19" s="41">
        <v>45698</v>
      </c>
      <c r="G19" s="41">
        <v>45726</v>
      </c>
      <c r="H19" s="38" t="s">
        <v>440</v>
      </c>
      <c r="I19" s="38"/>
      <c r="J19" s="42"/>
      <c r="K19" s="38"/>
    </row>
    <row r="20" spans="1:11" x14ac:dyDescent="0.25">
      <c r="A20" s="38">
        <f>+IF(B20="","",SUBTOTAL(3,$B$5:B20))</f>
        <v>16</v>
      </c>
      <c r="B20" s="39" t="s">
        <v>453</v>
      </c>
      <c r="C20" s="40" t="s">
        <v>439</v>
      </c>
      <c r="D20" s="41">
        <v>45692</v>
      </c>
      <c r="E20" s="38">
        <v>22</v>
      </c>
      <c r="F20" s="41">
        <v>45698</v>
      </c>
      <c r="G20" s="41">
        <v>45726</v>
      </c>
      <c r="H20" s="38" t="s">
        <v>440</v>
      </c>
      <c r="I20" s="38"/>
      <c r="J20" s="42"/>
      <c r="K20" s="38"/>
    </row>
    <row r="21" spans="1:11" ht="30" x14ac:dyDescent="0.25">
      <c r="A21" s="38">
        <f>+IF(B21="","",SUBTOTAL(3,$B$5:B21))</f>
        <v>17</v>
      </c>
      <c r="B21" s="39" t="s">
        <v>465</v>
      </c>
      <c r="C21" s="40" t="s">
        <v>439</v>
      </c>
      <c r="D21" s="41">
        <v>45692</v>
      </c>
      <c r="E21" s="38">
        <v>22</v>
      </c>
      <c r="F21" s="41">
        <v>45698</v>
      </c>
      <c r="G21" s="41">
        <v>45726</v>
      </c>
      <c r="H21" s="38" t="s">
        <v>440</v>
      </c>
      <c r="I21" s="38"/>
      <c r="J21" s="42"/>
      <c r="K21" s="38"/>
    </row>
    <row r="22" spans="1:11" x14ac:dyDescent="0.25">
      <c r="A22" s="38">
        <f>+IF(B22="","",SUBTOTAL(3,$B$5:B22))</f>
        <v>18</v>
      </c>
      <c r="B22" s="39" t="s">
        <v>466</v>
      </c>
      <c r="C22" s="40" t="s">
        <v>439</v>
      </c>
      <c r="D22" s="41">
        <v>45692</v>
      </c>
      <c r="E22" s="38">
        <v>22</v>
      </c>
      <c r="F22" s="41">
        <v>45698</v>
      </c>
      <c r="G22" s="41">
        <v>45726</v>
      </c>
      <c r="H22" s="38" t="s">
        <v>440</v>
      </c>
      <c r="I22" s="38"/>
      <c r="J22" s="42"/>
      <c r="K22" s="38"/>
    </row>
    <row r="23" spans="1:11" x14ac:dyDescent="0.25">
      <c r="A23" s="38">
        <f>+IF(B23="","",SUBTOTAL(3,$B$5:B23))</f>
        <v>19</v>
      </c>
      <c r="B23" s="39" t="s">
        <v>467</v>
      </c>
      <c r="C23" s="40" t="s">
        <v>442</v>
      </c>
      <c r="D23" s="41">
        <v>45692</v>
      </c>
      <c r="E23" s="38">
        <v>22</v>
      </c>
      <c r="F23" s="41">
        <v>45698</v>
      </c>
      <c r="G23" s="41">
        <v>45734</v>
      </c>
      <c r="H23" s="38" t="s">
        <v>444</v>
      </c>
      <c r="I23" s="38" t="s">
        <v>445</v>
      </c>
      <c r="J23" s="42"/>
      <c r="K23" s="38" t="s">
        <v>337</v>
      </c>
    </row>
    <row r="24" spans="1:11" x14ac:dyDescent="0.25">
      <c r="A24" s="38">
        <f>+IF(B24="","",SUBTOTAL(3,$B$5:B24))</f>
        <v>20</v>
      </c>
      <c r="B24" s="39" t="s">
        <v>468</v>
      </c>
      <c r="C24" s="40" t="s">
        <v>439</v>
      </c>
      <c r="D24" s="41">
        <v>45701</v>
      </c>
      <c r="E24" s="38">
        <v>27</v>
      </c>
      <c r="F24" s="41">
        <v>45701</v>
      </c>
      <c r="G24" s="41">
        <v>45740</v>
      </c>
      <c r="H24" s="38" t="s">
        <v>444</v>
      </c>
      <c r="I24" s="38" t="s">
        <v>445</v>
      </c>
      <c r="J24" s="42"/>
      <c r="K24" s="38" t="s">
        <v>338</v>
      </c>
    </row>
    <row r="25" spans="1:11" x14ac:dyDescent="0.25">
      <c r="A25" s="38">
        <f>+IF(B25="","",SUBTOTAL(3,$B$5:B25))</f>
        <v>21</v>
      </c>
      <c r="B25" s="39" t="s">
        <v>469</v>
      </c>
      <c r="C25" s="40" t="s">
        <v>442</v>
      </c>
      <c r="D25" s="41">
        <v>45706</v>
      </c>
      <c r="E25" s="38">
        <v>28</v>
      </c>
      <c r="F25" s="41">
        <v>45712</v>
      </c>
      <c r="G25" s="41">
        <v>45743</v>
      </c>
      <c r="H25" s="38" t="s">
        <v>444</v>
      </c>
      <c r="I25" s="38" t="s">
        <v>445</v>
      </c>
      <c r="J25" s="42"/>
      <c r="K25" s="38" t="s">
        <v>339</v>
      </c>
    </row>
    <row r="26" spans="1:11" x14ac:dyDescent="0.25">
      <c r="A26" s="38">
        <f>+IF(B26="","",SUBTOTAL(3,$B$5:B26))</f>
        <v>22</v>
      </c>
      <c r="B26" s="39" t="s">
        <v>470</v>
      </c>
      <c r="C26" s="40" t="s">
        <v>439</v>
      </c>
      <c r="D26" s="41">
        <v>45726</v>
      </c>
      <c r="E26" s="38">
        <v>37</v>
      </c>
      <c r="F26" s="41">
        <v>45726</v>
      </c>
      <c r="G26" s="41">
        <v>45754</v>
      </c>
      <c r="H26" s="38" t="s">
        <v>440</v>
      </c>
      <c r="I26" s="38"/>
      <c r="J26" s="42"/>
      <c r="K26" s="38"/>
    </row>
    <row r="27" spans="1:11" ht="30" x14ac:dyDescent="0.25">
      <c r="A27" s="38">
        <f>+IF(B27="","",SUBTOTAL(3,$B$5:B27))</f>
        <v>23</v>
      </c>
      <c r="B27" s="39" t="s">
        <v>471</v>
      </c>
      <c r="C27" s="40" t="s">
        <v>472</v>
      </c>
      <c r="D27" s="41">
        <v>45728</v>
      </c>
      <c r="E27" s="38">
        <v>39</v>
      </c>
      <c r="F27" s="41">
        <v>45728</v>
      </c>
      <c r="G27" s="41">
        <v>45763</v>
      </c>
      <c r="H27" s="38" t="s">
        <v>444</v>
      </c>
      <c r="I27" s="38" t="s">
        <v>445</v>
      </c>
      <c r="J27" s="42"/>
      <c r="K27" s="38" t="s">
        <v>340</v>
      </c>
    </row>
    <row r="28" spans="1:11" x14ac:dyDescent="0.25">
      <c r="A28" s="38">
        <f>+IF(B28="","",SUBTOTAL(3,$B$5:B28))</f>
        <v>24</v>
      </c>
      <c r="B28" s="39" t="s">
        <v>473</v>
      </c>
      <c r="C28" s="40" t="s">
        <v>442</v>
      </c>
      <c r="D28" s="41">
        <v>45728</v>
      </c>
      <c r="E28" s="38">
        <v>39</v>
      </c>
      <c r="F28" s="41">
        <v>45734</v>
      </c>
      <c r="G28" s="41">
        <v>45771</v>
      </c>
      <c r="H28" s="38" t="s">
        <v>444</v>
      </c>
      <c r="I28" s="38" t="s">
        <v>445</v>
      </c>
      <c r="J28" s="42"/>
      <c r="K28" s="38" t="s">
        <v>341</v>
      </c>
    </row>
    <row r="29" spans="1:11" x14ac:dyDescent="0.25">
      <c r="A29" s="38">
        <f>+IF(B29="","",SUBTOTAL(3,$B$5:B29))</f>
        <v>25</v>
      </c>
      <c r="B29" s="39" t="s">
        <v>474</v>
      </c>
      <c r="C29" s="40" t="s">
        <v>475</v>
      </c>
      <c r="D29" s="41">
        <v>45728</v>
      </c>
      <c r="E29" s="38">
        <v>39</v>
      </c>
      <c r="F29" s="41">
        <v>45733</v>
      </c>
      <c r="G29" s="41">
        <v>45770</v>
      </c>
      <c r="H29" s="38" t="s">
        <v>444</v>
      </c>
      <c r="I29" s="38" t="s">
        <v>445</v>
      </c>
      <c r="J29" s="42"/>
      <c r="K29" s="38" t="s">
        <v>342</v>
      </c>
    </row>
    <row r="30" spans="1:11" ht="30" x14ac:dyDescent="0.25">
      <c r="A30" s="38">
        <f>+IF(B30="","",SUBTOTAL(3,$B$5:B30))</f>
        <v>26</v>
      </c>
      <c r="B30" s="39" t="s">
        <v>476</v>
      </c>
      <c r="C30" s="40" t="s">
        <v>477</v>
      </c>
      <c r="D30" s="41">
        <v>45740</v>
      </c>
      <c r="E30" s="38">
        <v>43</v>
      </c>
      <c r="F30" s="41">
        <v>45742</v>
      </c>
      <c r="G30" s="41">
        <v>45764</v>
      </c>
      <c r="H30" s="38" t="s">
        <v>444</v>
      </c>
      <c r="I30" s="38" t="s">
        <v>445</v>
      </c>
      <c r="J30" s="42" t="s">
        <v>455</v>
      </c>
      <c r="K30" s="38"/>
    </row>
    <row r="31" spans="1:11" ht="30" x14ac:dyDescent="0.25">
      <c r="A31" s="38">
        <f>+IF(B31="","",SUBTOTAL(3,$B$5:B31))</f>
        <v>27</v>
      </c>
      <c r="B31" s="39" t="s">
        <v>478</v>
      </c>
      <c r="C31" s="40" t="s">
        <v>451</v>
      </c>
      <c r="D31" s="41">
        <v>45743</v>
      </c>
      <c r="E31" s="38">
        <v>46</v>
      </c>
      <c r="F31" s="41">
        <v>45748</v>
      </c>
      <c r="G31" s="41">
        <v>45779</v>
      </c>
      <c r="H31" s="38" t="s">
        <v>444</v>
      </c>
      <c r="I31" s="38" t="s">
        <v>445</v>
      </c>
      <c r="J31" s="42"/>
      <c r="K31" s="38" t="s">
        <v>343</v>
      </c>
    </row>
    <row r="32" spans="1:11" x14ac:dyDescent="0.25">
      <c r="A32" s="38">
        <f>+IF(B32="","",SUBTOTAL(3,$B$5:B32))</f>
        <v>28</v>
      </c>
      <c r="B32" s="39" t="s">
        <v>479</v>
      </c>
      <c r="C32" s="40" t="s">
        <v>442</v>
      </c>
      <c r="D32" s="41">
        <v>45743</v>
      </c>
      <c r="E32" s="38">
        <v>46</v>
      </c>
      <c r="F32" s="41">
        <v>45748</v>
      </c>
      <c r="G32" s="41">
        <v>45782</v>
      </c>
      <c r="H32" s="38" t="s">
        <v>444</v>
      </c>
      <c r="I32" s="38" t="s">
        <v>445</v>
      </c>
      <c r="J32" s="42"/>
      <c r="K32" s="38" t="s">
        <v>344</v>
      </c>
    </row>
    <row r="33" spans="1:11" x14ac:dyDescent="0.25">
      <c r="A33" s="38">
        <f>+IF(B33="","",SUBTOTAL(3,$B$5:B33))</f>
        <v>29</v>
      </c>
      <c r="B33" s="39" t="s">
        <v>480</v>
      </c>
      <c r="C33" s="40" t="s">
        <v>439</v>
      </c>
      <c r="D33" s="41">
        <v>45743</v>
      </c>
      <c r="E33" s="38">
        <v>46</v>
      </c>
      <c r="F33" s="41">
        <v>45749</v>
      </c>
      <c r="G33" s="41">
        <v>45782</v>
      </c>
      <c r="H33" s="38" t="s">
        <v>444</v>
      </c>
      <c r="I33" s="38" t="s">
        <v>445</v>
      </c>
      <c r="J33" s="42"/>
      <c r="K33" s="38" t="s">
        <v>345</v>
      </c>
    </row>
    <row r="34" spans="1:11" x14ac:dyDescent="0.25">
      <c r="A34" s="38">
        <f>+IF(B34="","",SUBTOTAL(3,$B$5:B34))</f>
        <v>30</v>
      </c>
      <c r="B34" s="39" t="s">
        <v>466</v>
      </c>
      <c r="C34" s="40" t="s">
        <v>439</v>
      </c>
      <c r="D34" s="41">
        <v>45757</v>
      </c>
      <c r="E34" s="38">
        <v>54</v>
      </c>
      <c r="F34" s="41">
        <v>45761</v>
      </c>
      <c r="G34" s="41">
        <v>45791</v>
      </c>
      <c r="H34" s="38" t="s">
        <v>444</v>
      </c>
      <c r="I34" s="38" t="s">
        <v>445</v>
      </c>
      <c r="J34" s="42"/>
      <c r="K34" s="38" t="s">
        <v>346</v>
      </c>
    </row>
    <row r="35" spans="1:11" x14ac:dyDescent="0.25">
      <c r="A35" s="38">
        <f>+IF(B35="","",SUBTOTAL(3,$B$5:B35))</f>
        <v>31</v>
      </c>
      <c r="B35" s="39" t="s">
        <v>481</v>
      </c>
      <c r="C35" s="40" t="s">
        <v>442</v>
      </c>
      <c r="D35" s="41">
        <v>45757</v>
      </c>
      <c r="E35" s="38">
        <v>54</v>
      </c>
      <c r="F35" s="41">
        <v>45757</v>
      </c>
      <c r="G35" s="41">
        <v>45771</v>
      </c>
      <c r="H35" s="38" t="s">
        <v>444</v>
      </c>
      <c r="I35" s="38" t="s">
        <v>463</v>
      </c>
      <c r="J35" s="42"/>
      <c r="K35" s="38" t="s">
        <v>347</v>
      </c>
    </row>
    <row r="36" spans="1:11" ht="30" x14ac:dyDescent="0.25">
      <c r="A36" s="38">
        <f>+IF(B36="","",SUBTOTAL(3,$B$5:B36))</f>
        <v>32</v>
      </c>
      <c r="B36" s="39" t="s">
        <v>482</v>
      </c>
      <c r="C36" s="40" t="s">
        <v>439</v>
      </c>
      <c r="D36" s="41">
        <v>45763</v>
      </c>
      <c r="E36" s="38">
        <v>55</v>
      </c>
      <c r="F36" s="41">
        <v>45764</v>
      </c>
      <c r="G36" s="41">
        <v>45798</v>
      </c>
      <c r="H36" s="38" t="s">
        <v>444</v>
      </c>
      <c r="I36" s="38" t="s">
        <v>445</v>
      </c>
      <c r="J36" s="42"/>
      <c r="K36" s="38" t="s">
        <v>348</v>
      </c>
    </row>
    <row r="37" spans="1:11" ht="45" x14ac:dyDescent="0.25">
      <c r="A37" s="38">
        <f>+IF(B37="","",SUBTOTAL(3,$B$5:B37))</f>
        <v>33</v>
      </c>
      <c r="B37" s="39" t="s">
        <v>483</v>
      </c>
      <c r="C37" s="40" t="s">
        <v>484</v>
      </c>
      <c r="D37" s="41">
        <v>45763</v>
      </c>
      <c r="E37" s="38">
        <v>55</v>
      </c>
      <c r="F37" s="41">
        <v>45763</v>
      </c>
      <c r="G37" s="41">
        <v>45797</v>
      </c>
      <c r="H37" s="38" t="s">
        <v>444</v>
      </c>
      <c r="I37" s="38" t="s">
        <v>445</v>
      </c>
      <c r="J37" s="42"/>
      <c r="K37" s="38" t="s">
        <v>349</v>
      </c>
    </row>
    <row r="38" spans="1:11" ht="30" x14ac:dyDescent="0.25">
      <c r="A38" s="38">
        <f>+IF(B38="","",SUBTOTAL(3,$B$5:B38))</f>
        <v>34</v>
      </c>
      <c r="B38" s="39" t="s">
        <v>485</v>
      </c>
      <c r="C38" s="40" t="s">
        <v>486</v>
      </c>
      <c r="D38" s="41">
        <v>45768</v>
      </c>
      <c r="E38" s="38">
        <v>57</v>
      </c>
      <c r="F38" s="41">
        <v>45768</v>
      </c>
      <c r="G38" s="41">
        <v>45798</v>
      </c>
      <c r="H38" s="38" t="s">
        <v>444</v>
      </c>
      <c r="I38" s="38" t="s">
        <v>445</v>
      </c>
      <c r="J38" s="42"/>
      <c r="K38" s="38" t="s">
        <v>350</v>
      </c>
    </row>
    <row r="39" spans="1:11" ht="30" x14ac:dyDescent="0.25">
      <c r="A39" s="38">
        <f>+IF(B39="","",SUBTOTAL(3,$B$5:B39))</f>
        <v>35</v>
      </c>
      <c r="B39" s="39" t="s">
        <v>487</v>
      </c>
      <c r="C39" s="40" t="s">
        <v>457</v>
      </c>
      <c r="D39" s="41">
        <v>45768</v>
      </c>
      <c r="E39" s="38">
        <v>57</v>
      </c>
      <c r="F39" s="41">
        <v>45768</v>
      </c>
      <c r="G39" s="41">
        <v>45804</v>
      </c>
      <c r="H39" s="38" t="s">
        <v>444</v>
      </c>
      <c r="I39" s="38" t="s">
        <v>445</v>
      </c>
      <c r="J39" s="42"/>
      <c r="K39" s="38" t="s">
        <v>351</v>
      </c>
    </row>
    <row r="40" spans="1:11" x14ac:dyDescent="0.25">
      <c r="A40" s="38">
        <f>+IF(B40="","",SUBTOTAL(3,$B$5:B40))</f>
        <v>36</v>
      </c>
      <c r="B40" s="39" t="s">
        <v>488</v>
      </c>
      <c r="C40" s="40" t="s">
        <v>442</v>
      </c>
      <c r="D40" s="41">
        <v>45768</v>
      </c>
      <c r="E40" s="38">
        <v>57</v>
      </c>
      <c r="F40" s="41">
        <v>45771</v>
      </c>
      <c r="G40" s="41">
        <v>45803</v>
      </c>
      <c r="H40" s="38" t="s">
        <v>444</v>
      </c>
      <c r="I40" s="38" t="s">
        <v>445</v>
      </c>
      <c r="J40" s="42"/>
      <c r="K40" s="38" t="s">
        <v>352</v>
      </c>
    </row>
    <row r="41" spans="1:11" x14ac:dyDescent="0.25">
      <c r="A41" s="38">
        <f>+IF(B41="","",SUBTOTAL(3,$B$5:B41))</f>
        <v>37</v>
      </c>
      <c r="B41" s="39" t="s">
        <v>489</v>
      </c>
      <c r="C41" s="40" t="s">
        <v>490</v>
      </c>
      <c r="D41" s="41">
        <v>45768</v>
      </c>
      <c r="E41" s="38">
        <v>57</v>
      </c>
      <c r="F41" s="41">
        <v>45770</v>
      </c>
      <c r="G41" s="41">
        <v>45806</v>
      </c>
      <c r="H41" s="38" t="s">
        <v>444</v>
      </c>
      <c r="I41" s="38" t="s">
        <v>445</v>
      </c>
      <c r="J41" s="42"/>
      <c r="K41" s="38" t="s">
        <v>353</v>
      </c>
    </row>
    <row r="42" spans="1:11" ht="30" x14ac:dyDescent="0.25">
      <c r="A42" s="38">
        <f>+IF(B42="","",SUBTOTAL(3,$B$5:B42))</f>
        <v>38</v>
      </c>
      <c r="B42" s="39" t="s">
        <v>491</v>
      </c>
      <c r="C42" s="40" t="s">
        <v>492</v>
      </c>
      <c r="D42" s="41">
        <v>45772</v>
      </c>
      <c r="E42" s="38">
        <v>58</v>
      </c>
      <c r="F42" s="41">
        <v>45775</v>
      </c>
      <c r="G42" s="41">
        <v>45810</v>
      </c>
      <c r="H42" s="38" t="s">
        <v>444</v>
      </c>
      <c r="I42" s="38" t="s">
        <v>445</v>
      </c>
      <c r="J42" s="42"/>
      <c r="K42" s="38" t="s">
        <v>354</v>
      </c>
    </row>
    <row r="43" spans="1:11" x14ac:dyDescent="0.25">
      <c r="A43" s="38">
        <f>+IF(B43="","",SUBTOTAL(3,$B$5:B43))</f>
        <v>39</v>
      </c>
      <c r="B43" s="39" t="s">
        <v>493</v>
      </c>
      <c r="C43" s="40" t="s">
        <v>442</v>
      </c>
      <c r="D43" s="41">
        <v>45771</v>
      </c>
      <c r="E43" s="38">
        <v>62</v>
      </c>
      <c r="F43" s="41">
        <v>45782</v>
      </c>
      <c r="G43" s="41">
        <v>45810</v>
      </c>
      <c r="H43" s="38" t="s">
        <v>440</v>
      </c>
      <c r="I43" s="38"/>
      <c r="J43" s="42"/>
      <c r="K43" s="38"/>
    </row>
    <row r="44" spans="1:11" ht="30" x14ac:dyDescent="0.25">
      <c r="A44" s="38">
        <f>+IF(B44="","",SUBTOTAL(3,$B$5:B44))</f>
        <v>40</v>
      </c>
      <c r="B44" s="39" t="s">
        <v>494</v>
      </c>
      <c r="C44" s="40" t="s">
        <v>495</v>
      </c>
      <c r="D44" s="41">
        <v>45777</v>
      </c>
      <c r="E44" s="38">
        <v>67</v>
      </c>
      <c r="F44" s="41">
        <v>45782</v>
      </c>
      <c r="G44" s="41">
        <v>45818</v>
      </c>
      <c r="H44" s="38" t="s">
        <v>444</v>
      </c>
      <c r="I44" s="38" t="s">
        <v>445</v>
      </c>
      <c r="J44" s="42"/>
      <c r="K44" s="38" t="s">
        <v>355</v>
      </c>
    </row>
    <row r="45" spans="1:11" x14ac:dyDescent="0.25">
      <c r="A45" s="38">
        <f>+IF(B45="","",SUBTOTAL(3,$B$5:B45))</f>
        <v>41</v>
      </c>
      <c r="B45" s="39" t="s">
        <v>496</v>
      </c>
      <c r="C45" s="40" t="s">
        <v>439</v>
      </c>
      <c r="D45" s="41">
        <v>45777</v>
      </c>
      <c r="E45" s="38">
        <v>67</v>
      </c>
      <c r="F45" s="41">
        <v>45782</v>
      </c>
      <c r="G45" s="41">
        <v>45817</v>
      </c>
      <c r="H45" s="38" t="s">
        <v>444</v>
      </c>
      <c r="I45" s="38" t="s">
        <v>445</v>
      </c>
      <c r="J45" s="42"/>
      <c r="K45" s="38" t="s">
        <v>356</v>
      </c>
    </row>
    <row r="46" spans="1:11" x14ac:dyDescent="0.25">
      <c r="A46" s="38">
        <f>+IF(B46="","",SUBTOTAL(3,$B$5:B46))</f>
        <v>42</v>
      </c>
      <c r="B46" s="39" t="s">
        <v>497</v>
      </c>
      <c r="C46" s="40" t="s">
        <v>442</v>
      </c>
      <c r="D46" s="41">
        <v>45779</v>
      </c>
      <c r="E46" s="38">
        <v>68</v>
      </c>
      <c r="F46" s="41">
        <v>45782</v>
      </c>
      <c r="G46" s="41">
        <v>45810</v>
      </c>
      <c r="H46" s="38" t="s">
        <v>440</v>
      </c>
      <c r="I46" s="38"/>
      <c r="J46" s="42"/>
      <c r="K46" s="38"/>
    </row>
    <row r="47" spans="1:11" x14ac:dyDescent="0.25">
      <c r="A47" s="38">
        <f>+IF(B47="","",SUBTOTAL(3,$B$5:B47))</f>
        <v>43</v>
      </c>
      <c r="B47" s="39" t="s">
        <v>498</v>
      </c>
      <c r="C47" s="40" t="s">
        <v>499</v>
      </c>
      <c r="D47" s="41">
        <v>45785</v>
      </c>
      <c r="E47" s="38">
        <v>71</v>
      </c>
      <c r="F47" s="41">
        <v>45789</v>
      </c>
      <c r="G47" s="41">
        <v>45803</v>
      </c>
      <c r="H47" s="38" t="s">
        <v>444</v>
      </c>
      <c r="I47" s="38" t="s">
        <v>463</v>
      </c>
      <c r="J47" s="42"/>
      <c r="K47" s="38" t="s">
        <v>357</v>
      </c>
    </row>
    <row r="48" spans="1:11" ht="30" x14ac:dyDescent="0.25">
      <c r="A48" s="38">
        <f>+IF(B48="","",SUBTOTAL(3,$B$5:B48))</f>
        <v>44</v>
      </c>
      <c r="B48" s="39" t="s">
        <v>500</v>
      </c>
      <c r="C48" s="40" t="s">
        <v>472</v>
      </c>
      <c r="D48" s="41">
        <v>45785</v>
      </c>
      <c r="E48" s="38">
        <v>71</v>
      </c>
      <c r="F48" s="41">
        <v>45789</v>
      </c>
      <c r="G48" s="41">
        <v>45824</v>
      </c>
      <c r="H48" s="38" t="s">
        <v>444</v>
      </c>
      <c r="I48" s="38" t="s">
        <v>445</v>
      </c>
      <c r="J48" s="42"/>
      <c r="K48" s="38" t="s">
        <v>358</v>
      </c>
    </row>
    <row r="49" spans="1:11" x14ac:dyDescent="0.25">
      <c r="A49" s="38">
        <f>+IF(B49="","",SUBTOTAL(3,$B$5:B49))</f>
        <v>45</v>
      </c>
      <c r="B49" s="39" t="s">
        <v>501</v>
      </c>
      <c r="C49" s="40" t="s">
        <v>439</v>
      </c>
      <c r="D49" s="41">
        <v>45793</v>
      </c>
      <c r="E49" s="38">
        <v>74</v>
      </c>
      <c r="F49" s="41">
        <v>45804</v>
      </c>
      <c r="G49" s="41">
        <v>45840</v>
      </c>
      <c r="H49" s="38" t="s">
        <v>444</v>
      </c>
      <c r="I49" s="38" t="s">
        <v>445</v>
      </c>
      <c r="J49" s="42"/>
      <c r="K49" s="38" t="s">
        <v>359</v>
      </c>
    </row>
    <row r="50" spans="1:11" ht="30" x14ac:dyDescent="0.25">
      <c r="A50" s="38">
        <f>+IF(B50="","",SUBTOTAL(3,$B$5:B50))</f>
        <v>46</v>
      </c>
      <c r="B50" s="39" t="s">
        <v>502</v>
      </c>
      <c r="C50" s="40" t="s">
        <v>503</v>
      </c>
      <c r="D50" s="41">
        <v>45793</v>
      </c>
      <c r="E50" s="38">
        <v>74</v>
      </c>
      <c r="F50" s="41">
        <v>45796</v>
      </c>
      <c r="G50" s="41">
        <v>45810</v>
      </c>
      <c r="H50" s="38" t="s">
        <v>444</v>
      </c>
      <c r="I50" s="38" t="s">
        <v>463</v>
      </c>
      <c r="J50" s="42"/>
      <c r="K50" s="38" t="s">
        <v>360</v>
      </c>
    </row>
    <row r="51" spans="1:11" x14ac:dyDescent="0.25">
      <c r="A51" s="38">
        <f>+IF(B51="","",SUBTOTAL(3,$B$5:B51))</f>
        <v>47</v>
      </c>
      <c r="B51" s="39" t="s">
        <v>504</v>
      </c>
      <c r="C51" s="40" t="s">
        <v>439</v>
      </c>
      <c r="D51" s="41">
        <v>45793</v>
      </c>
      <c r="E51" s="38">
        <v>74</v>
      </c>
      <c r="F51" s="41">
        <v>45796</v>
      </c>
      <c r="G51" s="41">
        <v>45828</v>
      </c>
      <c r="H51" s="38" t="s">
        <v>444</v>
      </c>
      <c r="I51" s="38" t="s">
        <v>445</v>
      </c>
      <c r="J51" s="42"/>
      <c r="K51" s="38" t="s">
        <v>361</v>
      </c>
    </row>
    <row r="52" spans="1:11" x14ac:dyDescent="0.25">
      <c r="A52" s="38">
        <f>+IF(B52="","",SUBTOTAL(3,$B$5:B52))</f>
        <v>48</v>
      </c>
      <c r="B52" s="39" t="s">
        <v>505</v>
      </c>
      <c r="C52" s="40" t="s">
        <v>439</v>
      </c>
      <c r="D52" s="41">
        <v>45799</v>
      </c>
      <c r="E52" s="38" t="s">
        <v>506</v>
      </c>
      <c r="F52" s="41">
        <v>45803</v>
      </c>
      <c r="G52" s="41">
        <v>45833</v>
      </c>
      <c r="H52" s="38" t="s">
        <v>444</v>
      </c>
      <c r="I52" s="38" t="s">
        <v>445</v>
      </c>
      <c r="J52" s="42"/>
      <c r="K52" s="38" t="s">
        <v>341</v>
      </c>
    </row>
    <row r="53" spans="1:11" x14ac:dyDescent="0.25">
      <c r="A53" s="38">
        <f>+IF(B53="","",SUBTOTAL(3,$B$5:B53))</f>
        <v>49</v>
      </c>
      <c r="B53" s="39" t="s">
        <v>507</v>
      </c>
      <c r="C53" s="40" t="s">
        <v>439</v>
      </c>
      <c r="D53" s="41">
        <v>45799</v>
      </c>
      <c r="E53" s="38" t="s">
        <v>506</v>
      </c>
      <c r="F53" s="41">
        <v>45803</v>
      </c>
      <c r="G53" s="41">
        <v>45839</v>
      </c>
      <c r="H53" s="38" t="s">
        <v>444</v>
      </c>
      <c r="I53" s="38" t="s">
        <v>445</v>
      </c>
      <c r="J53" s="42"/>
      <c r="K53" s="38" t="s">
        <v>354</v>
      </c>
    </row>
    <row r="54" spans="1:11" x14ac:dyDescent="0.25">
      <c r="A54" s="38">
        <f>+IF(B54="","",SUBTOTAL(3,$B$5:B54))</f>
        <v>50</v>
      </c>
      <c r="B54" s="39" t="s">
        <v>438</v>
      </c>
      <c r="C54" s="40" t="s">
        <v>439</v>
      </c>
      <c r="D54" s="41">
        <v>45800</v>
      </c>
      <c r="E54" s="38">
        <v>78</v>
      </c>
      <c r="F54" s="41">
        <v>45803</v>
      </c>
      <c r="G54" s="41">
        <v>45831</v>
      </c>
      <c r="H54" s="38" t="s">
        <v>440</v>
      </c>
      <c r="I54" s="38"/>
      <c r="J54" s="42"/>
      <c r="K54" s="38"/>
    </row>
    <row r="55" spans="1:11" x14ac:dyDescent="0.25">
      <c r="A55" s="38">
        <f>+IF(B55="","",SUBTOTAL(3,$B$5:B55))</f>
        <v>51</v>
      </c>
      <c r="B55" s="39" t="s">
        <v>441</v>
      </c>
      <c r="C55" s="40" t="s">
        <v>442</v>
      </c>
      <c r="D55" s="41">
        <v>45800</v>
      </c>
      <c r="E55" s="38">
        <v>78</v>
      </c>
      <c r="F55" s="41">
        <v>45803</v>
      </c>
      <c r="G55" s="41">
        <v>45831</v>
      </c>
      <c r="H55" s="38" t="s">
        <v>440</v>
      </c>
      <c r="I55" s="38"/>
      <c r="J55" s="42"/>
      <c r="K55" s="38"/>
    </row>
    <row r="56" spans="1:11" x14ac:dyDescent="0.25">
      <c r="A56" s="38">
        <f>+IF(B56="","",SUBTOTAL(3,$B$5:B56))</f>
        <v>52</v>
      </c>
      <c r="B56" s="39" t="s">
        <v>508</v>
      </c>
      <c r="C56" s="40" t="s">
        <v>499</v>
      </c>
      <c r="D56" s="41">
        <v>45804</v>
      </c>
      <c r="E56" s="38">
        <v>79</v>
      </c>
      <c r="F56" s="41">
        <v>45810</v>
      </c>
      <c r="G56" s="41">
        <v>45825</v>
      </c>
      <c r="H56" s="38" t="s">
        <v>444</v>
      </c>
      <c r="I56" s="38" t="s">
        <v>463</v>
      </c>
      <c r="J56" s="42"/>
      <c r="K56" s="38" t="s">
        <v>362</v>
      </c>
    </row>
    <row r="57" spans="1:11" ht="30" x14ac:dyDescent="0.25">
      <c r="A57" s="38">
        <f>+IF(B57="","",SUBTOTAL(3,$B$5:B57))</f>
        <v>53</v>
      </c>
      <c r="B57" s="39" t="s">
        <v>509</v>
      </c>
      <c r="C57" s="40" t="s">
        <v>457</v>
      </c>
      <c r="D57" s="41">
        <v>45804</v>
      </c>
      <c r="E57" s="38">
        <v>79</v>
      </c>
      <c r="F57" s="41">
        <v>45807</v>
      </c>
      <c r="G57" s="41">
        <v>45845</v>
      </c>
      <c r="H57" s="38" t="s">
        <v>444</v>
      </c>
      <c r="I57" s="38" t="s">
        <v>445</v>
      </c>
      <c r="J57" s="42"/>
      <c r="K57" s="38" t="s">
        <v>340</v>
      </c>
    </row>
    <row r="58" spans="1:11" x14ac:dyDescent="0.25">
      <c r="A58" s="38">
        <f>+IF(B58="","",SUBTOTAL(3,$B$5:B58))</f>
        <v>54</v>
      </c>
      <c r="B58" s="39" t="s">
        <v>510</v>
      </c>
      <c r="C58" s="40" t="s">
        <v>451</v>
      </c>
      <c r="D58" s="41">
        <v>45804</v>
      </c>
      <c r="E58" s="38">
        <v>79</v>
      </c>
      <c r="F58" s="41">
        <v>45817</v>
      </c>
      <c r="G58" s="41">
        <v>45846</v>
      </c>
      <c r="H58" s="38" t="s">
        <v>444</v>
      </c>
      <c r="I58" s="38" t="s">
        <v>445</v>
      </c>
      <c r="J58" s="42"/>
      <c r="K58" s="38" t="s">
        <v>363</v>
      </c>
    </row>
    <row r="59" spans="1:11" x14ac:dyDescent="0.25">
      <c r="A59" s="38">
        <f>+IF(B59="","",SUBTOTAL(3,$B$5:B59))</f>
        <v>55</v>
      </c>
      <c r="B59" s="39" t="s">
        <v>511</v>
      </c>
      <c r="C59" s="40" t="s">
        <v>442</v>
      </c>
      <c r="D59" s="41">
        <v>45804</v>
      </c>
      <c r="E59" s="38">
        <v>79</v>
      </c>
      <c r="F59" s="41">
        <v>45804</v>
      </c>
      <c r="G59" s="41">
        <v>45820</v>
      </c>
      <c r="H59" s="38" t="s">
        <v>444</v>
      </c>
      <c r="I59" s="38" t="s">
        <v>463</v>
      </c>
      <c r="J59" s="42"/>
      <c r="K59" s="38" t="s">
        <v>364</v>
      </c>
    </row>
    <row r="60" spans="1:11" ht="45" x14ac:dyDescent="0.25">
      <c r="A60" s="38">
        <f>+IF(B60="","",SUBTOTAL(3,$B$5:B60))</f>
        <v>56</v>
      </c>
      <c r="B60" s="39" t="s">
        <v>512</v>
      </c>
      <c r="C60" s="40" t="s">
        <v>447</v>
      </c>
      <c r="D60" s="41">
        <v>45807</v>
      </c>
      <c r="E60" s="38">
        <v>81</v>
      </c>
      <c r="F60" s="41">
        <v>45807</v>
      </c>
      <c r="G60" s="41">
        <v>45841</v>
      </c>
      <c r="H60" s="38" t="s">
        <v>444</v>
      </c>
      <c r="I60" s="38" t="s">
        <v>445</v>
      </c>
      <c r="J60" s="42"/>
      <c r="K60" s="38" t="s">
        <v>365</v>
      </c>
    </row>
    <row r="61" spans="1:11" x14ac:dyDescent="0.25">
      <c r="A61" s="38">
        <f>+IF(B61="","",SUBTOTAL(3,$B$5:B61))</f>
        <v>57</v>
      </c>
      <c r="B61" s="39" t="s">
        <v>513</v>
      </c>
      <c r="C61" s="40" t="s">
        <v>439</v>
      </c>
      <c r="D61" s="41">
        <v>45807</v>
      </c>
      <c r="E61" s="38">
        <v>81</v>
      </c>
      <c r="F61" s="41">
        <v>45807</v>
      </c>
      <c r="G61" s="41">
        <v>45841</v>
      </c>
      <c r="H61" s="38" t="s">
        <v>444</v>
      </c>
      <c r="I61" s="38" t="s">
        <v>445</v>
      </c>
      <c r="J61" s="42"/>
      <c r="K61" s="38" t="s">
        <v>366</v>
      </c>
    </row>
    <row r="62" spans="1:11" x14ac:dyDescent="0.25">
      <c r="A62" s="38">
        <f>+IF(B62="","",SUBTOTAL(3,$B$5:B62))</f>
        <v>58</v>
      </c>
      <c r="B62" s="39" t="s">
        <v>459</v>
      </c>
      <c r="C62" s="40" t="s">
        <v>442</v>
      </c>
      <c r="D62" s="41">
        <v>45813</v>
      </c>
      <c r="E62" s="38">
        <v>85</v>
      </c>
      <c r="F62" s="41">
        <v>45820</v>
      </c>
      <c r="G62" s="41">
        <v>45849</v>
      </c>
      <c r="H62" s="38" t="s">
        <v>444</v>
      </c>
      <c r="I62" s="38" t="s">
        <v>445</v>
      </c>
      <c r="J62" s="42"/>
      <c r="K62" s="38" t="s">
        <v>367</v>
      </c>
    </row>
    <row r="63" spans="1:11" x14ac:dyDescent="0.25">
      <c r="A63" s="38">
        <f>+IF(B63="","",SUBTOTAL(3,$B$5:B63))</f>
        <v>59</v>
      </c>
      <c r="B63" s="39" t="s">
        <v>514</v>
      </c>
      <c r="C63" s="40" t="s">
        <v>439</v>
      </c>
      <c r="D63" s="41">
        <v>45824</v>
      </c>
      <c r="E63" s="38">
        <v>88</v>
      </c>
      <c r="F63" s="41">
        <v>45824</v>
      </c>
      <c r="G63" s="41">
        <v>45859</v>
      </c>
      <c r="H63" s="38" t="s">
        <v>444</v>
      </c>
      <c r="I63" s="38" t="s">
        <v>445</v>
      </c>
      <c r="J63" s="42"/>
      <c r="K63" s="38" t="s">
        <v>368</v>
      </c>
    </row>
    <row r="64" spans="1:11" ht="30" x14ac:dyDescent="0.25">
      <c r="A64" s="38">
        <f>+IF(B64="","",SUBTOTAL(3,$B$5:B64))</f>
        <v>60</v>
      </c>
      <c r="B64" s="39" t="s">
        <v>515</v>
      </c>
      <c r="C64" s="40" t="s">
        <v>477</v>
      </c>
      <c r="D64" s="41">
        <v>45824</v>
      </c>
      <c r="E64" s="38">
        <v>88</v>
      </c>
      <c r="F64" s="41">
        <v>45828</v>
      </c>
      <c r="G64" s="41">
        <v>45861</v>
      </c>
      <c r="H64" s="38" t="s">
        <v>444</v>
      </c>
      <c r="I64" s="38" t="s">
        <v>445</v>
      </c>
      <c r="J64" s="42"/>
      <c r="K64" s="38" t="s">
        <v>369</v>
      </c>
    </row>
    <row r="65" spans="1:11" x14ac:dyDescent="0.25">
      <c r="A65" s="38">
        <f>+IF(B65="","",SUBTOTAL(3,$B$5:B65))</f>
        <v>61</v>
      </c>
      <c r="B65" s="39" t="s">
        <v>450</v>
      </c>
      <c r="C65" s="40" t="s">
        <v>451</v>
      </c>
      <c r="D65" s="41">
        <v>45824</v>
      </c>
      <c r="E65" s="38">
        <v>88</v>
      </c>
      <c r="F65" s="41">
        <v>45824</v>
      </c>
      <c r="G65" s="41">
        <v>45859</v>
      </c>
      <c r="H65" s="38" t="s">
        <v>444</v>
      </c>
      <c r="I65" s="38" t="s">
        <v>445</v>
      </c>
      <c r="J65" s="42"/>
      <c r="K65" s="38" t="s">
        <v>370</v>
      </c>
    </row>
    <row r="66" spans="1:11" x14ac:dyDescent="0.25">
      <c r="A66" s="38">
        <f>+IF(B66="","",SUBTOTAL(3,$B$5:B66))</f>
        <v>62</v>
      </c>
      <c r="B66" s="39" t="s">
        <v>516</v>
      </c>
      <c r="C66" s="40" t="s">
        <v>451</v>
      </c>
      <c r="D66" s="41">
        <v>45831</v>
      </c>
      <c r="E66" s="38">
        <v>91</v>
      </c>
      <c r="F66" s="41">
        <v>45832</v>
      </c>
      <c r="G66" s="41">
        <v>45846</v>
      </c>
      <c r="H66" s="38" t="s">
        <v>444</v>
      </c>
      <c r="I66" s="38" t="s">
        <v>463</v>
      </c>
      <c r="J66" s="42"/>
      <c r="K66" s="38" t="s">
        <v>354</v>
      </c>
    </row>
    <row r="67" spans="1:11" x14ac:dyDescent="0.25">
      <c r="A67" s="38">
        <f>+IF(B67="","",SUBTOTAL(3,$B$5:B67))</f>
        <v>63</v>
      </c>
      <c r="B67" s="39" t="s">
        <v>517</v>
      </c>
      <c r="C67" s="40" t="s">
        <v>442</v>
      </c>
      <c r="D67" s="41">
        <v>45831</v>
      </c>
      <c r="E67" s="38">
        <v>92</v>
      </c>
      <c r="F67" s="41">
        <v>45838</v>
      </c>
      <c r="G67" s="41">
        <v>45869</v>
      </c>
      <c r="H67" s="38" t="s">
        <v>444</v>
      </c>
      <c r="I67" s="38" t="s">
        <v>445</v>
      </c>
      <c r="J67" s="42"/>
      <c r="K67" s="38" t="s">
        <v>352</v>
      </c>
    </row>
    <row r="68" spans="1:11" x14ac:dyDescent="0.25">
      <c r="A68" s="38">
        <f>+IF(B68="","",SUBTOTAL(3,$B$5:B68))</f>
        <v>64</v>
      </c>
      <c r="B68" s="39" t="s">
        <v>518</v>
      </c>
      <c r="C68" s="40" t="s">
        <v>439</v>
      </c>
      <c r="D68" s="41">
        <v>45831</v>
      </c>
      <c r="E68" s="38">
        <v>92</v>
      </c>
      <c r="F68" s="41">
        <v>45839</v>
      </c>
      <c r="G68" s="41">
        <v>45874</v>
      </c>
      <c r="H68" s="38" t="s">
        <v>444</v>
      </c>
      <c r="I68" s="38" t="s">
        <v>445</v>
      </c>
      <c r="J68" s="42"/>
      <c r="K68" s="38" t="s">
        <v>371</v>
      </c>
    </row>
    <row r="69" spans="1:11" ht="30" x14ac:dyDescent="0.25">
      <c r="A69" s="38">
        <f>+IF(B69="","",SUBTOTAL(3,$B$5:B69))</f>
        <v>65</v>
      </c>
      <c r="B69" s="39" t="s">
        <v>519</v>
      </c>
      <c r="C69" s="40" t="s">
        <v>462</v>
      </c>
      <c r="D69" s="41">
        <v>45831</v>
      </c>
      <c r="E69" s="38">
        <v>92</v>
      </c>
      <c r="F69" s="41">
        <v>45831</v>
      </c>
      <c r="G69" s="41">
        <v>45860</v>
      </c>
      <c r="H69" s="38" t="s">
        <v>444</v>
      </c>
      <c r="I69" s="38" t="s">
        <v>445</v>
      </c>
      <c r="J69" s="42"/>
      <c r="K69" s="38" t="s">
        <v>353</v>
      </c>
    </row>
    <row r="70" spans="1:11" ht="30" x14ac:dyDescent="0.25">
      <c r="A70" s="38">
        <f>+IF(B70="","",SUBTOTAL(3,$B$5:B70))</f>
        <v>66</v>
      </c>
      <c r="B70" s="39" t="s">
        <v>520</v>
      </c>
      <c r="C70" s="40" t="s">
        <v>521</v>
      </c>
      <c r="D70" s="41">
        <v>45831</v>
      </c>
      <c r="E70" s="38">
        <v>92</v>
      </c>
      <c r="F70" s="41">
        <v>45841</v>
      </c>
      <c r="G70" s="41">
        <v>45859</v>
      </c>
      <c r="H70" s="38" t="s">
        <v>444</v>
      </c>
      <c r="I70" s="38" t="s">
        <v>463</v>
      </c>
      <c r="J70" s="42"/>
      <c r="K70" s="38" t="s">
        <v>372</v>
      </c>
    </row>
    <row r="71" spans="1:11" ht="45" x14ac:dyDescent="0.25">
      <c r="A71" s="38">
        <f>+IF(B71="","",SUBTOTAL(3,$B$5:B71))</f>
        <v>67</v>
      </c>
      <c r="B71" s="39" t="s">
        <v>522</v>
      </c>
      <c r="C71" s="40" t="s">
        <v>523</v>
      </c>
      <c r="D71" s="41">
        <v>45831</v>
      </c>
      <c r="E71" s="38">
        <v>92</v>
      </c>
      <c r="F71" s="41">
        <v>45839</v>
      </c>
      <c r="G71" s="41">
        <v>45866</v>
      </c>
      <c r="H71" s="38" t="s">
        <v>444</v>
      </c>
      <c r="I71" s="38" t="s">
        <v>463</v>
      </c>
      <c r="J71" s="42"/>
      <c r="K71" s="38" t="s">
        <v>373</v>
      </c>
    </row>
    <row r="72" spans="1:11" ht="45" x14ac:dyDescent="0.25">
      <c r="A72" s="38">
        <f>+IF(B72="","",SUBTOTAL(3,$B$5:B72))</f>
        <v>68</v>
      </c>
      <c r="B72" s="39" t="s">
        <v>524</v>
      </c>
      <c r="C72" s="40" t="s">
        <v>484</v>
      </c>
      <c r="D72" s="41">
        <v>45835</v>
      </c>
      <c r="E72" s="38">
        <v>93</v>
      </c>
      <c r="F72" s="41">
        <v>45838</v>
      </c>
      <c r="G72" s="41">
        <v>45873</v>
      </c>
      <c r="H72" s="38" t="s">
        <v>444</v>
      </c>
      <c r="I72" s="38" t="s">
        <v>445</v>
      </c>
      <c r="J72" s="42"/>
      <c r="K72" s="38" t="s">
        <v>374</v>
      </c>
    </row>
    <row r="73" spans="1:11" x14ac:dyDescent="0.25">
      <c r="A73" s="38">
        <f>+IF(B73="","",SUBTOTAL(3,$B$5:B73))</f>
        <v>69</v>
      </c>
      <c r="B73" s="39" t="s">
        <v>525</v>
      </c>
      <c r="C73" s="40" t="s">
        <v>439</v>
      </c>
      <c r="D73" s="41">
        <v>45835</v>
      </c>
      <c r="E73" s="38">
        <v>93</v>
      </c>
      <c r="F73" s="41">
        <v>45839</v>
      </c>
      <c r="G73" s="41">
        <v>45873</v>
      </c>
      <c r="H73" s="38" t="s">
        <v>444</v>
      </c>
      <c r="I73" s="38" t="s">
        <v>445</v>
      </c>
      <c r="J73" s="42"/>
      <c r="K73" s="38" t="s">
        <v>375</v>
      </c>
    </row>
    <row r="74" spans="1:11" x14ac:dyDescent="0.25">
      <c r="A74" s="38">
        <f>+IF(B74="","",SUBTOTAL(3,$B$5:B74))</f>
        <v>70</v>
      </c>
      <c r="B74" s="39" t="s">
        <v>526</v>
      </c>
      <c r="C74" s="40" t="s">
        <v>439</v>
      </c>
      <c r="D74" s="41">
        <v>45842</v>
      </c>
      <c r="E74" s="38">
        <v>98</v>
      </c>
      <c r="F74" s="41">
        <v>45845</v>
      </c>
      <c r="G74" s="41">
        <v>45880</v>
      </c>
      <c r="H74" s="38" t="s">
        <v>444</v>
      </c>
      <c r="I74" s="38" t="s">
        <v>445</v>
      </c>
      <c r="J74" s="42"/>
      <c r="K74" s="38" t="s">
        <v>376</v>
      </c>
    </row>
    <row r="75" spans="1:11" ht="45" x14ac:dyDescent="0.25">
      <c r="A75" s="38">
        <f>+IF(B75="","",SUBTOTAL(3,$B$5:B75))</f>
        <v>71</v>
      </c>
      <c r="B75" s="39" t="s">
        <v>527</v>
      </c>
      <c r="C75" s="40" t="s">
        <v>528</v>
      </c>
      <c r="D75" s="41">
        <v>45845</v>
      </c>
      <c r="E75" s="38">
        <v>99</v>
      </c>
      <c r="F75" s="41">
        <v>45845</v>
      </c>
      <c r="G75" s="41">
        <v>45880</v>
      </c>
      <c r="H75" s="38" t="s">
        <v>444</v>
      </c>
      <c r="I75" s="38" t="s">
        <v>445</v>
      </c>
      <c r="J75" s="42"/>
      <c r="K75" s="38" t="s">
        <v>377</v>
      </c>
    </row>
    <row r="76" spans="1:11" x14ac:dyDescent="0.25">
      <c r="A76" s="38">
        <f>+IF(B76="","",SUBTOTAL(3,$B$5:B76))</f>
        <v>72</v>
      </c>
      <c r="B76" s="39" t="s">
        <v>529</v>
      </c>
      <c r="C76" s="40" t="s">
        <v>439</v>
      </c>
      <c r="D76" s="41">
        <v>45845</v>
      </c>
      <c r="E76" s="38">
        <v>99</v>
      </c>
      <c r="F76" s="41">
        <v>45845</v>
      </c>
      <c r="G76" s="41">
        <v>45880</v>
      </c>
      <c r="H76" s="38" t="s">
        <v>444</v>
      </c>
      <c r="I76" s="38" t="s">
        <v>445</v>
      </c>
      <c r="J76" s="42"/>
      <c r="K76" s="38" t="s">
        <v>378</v>
      </c>
    </row>
    <row r="77" spans="1:11" x14ac:dyDescent="0.25">
      <c r="A77" s="38">
        <f>+IF(B77="","",SUBTOTAL(3,$B$5:B77))</f>
        <v>73</v>
      </c>
      <c r="B77" s="39" t="s">
        <v>530</v>
      </c>
      <c r="C77" s="40" t="s">
        <v>442</v>
      </c>
      <c r="D77" s="41">
        <v>45845</v>
      </c>
      <c r="E77" s="38">
        <v>100</v>
      </c>
      <c r="F77" s="41">
        <v>45852</v>
      </c>
      <c r="G77" s="41">
        <v>45883</v>
      </c>
      <c r="H77" s="38" t="s">
        <v>444</v>
      </c>
      <c r="I77" s="38" t="s">
        <v>445</v>
      </c>
      <c r="J77" s="42"/>
      <c r="K77" s="38" t="s">
        <v>379</v>
      </c>
    </row>
    <row r="78" spans="1:11" x14ac:dyDescent="0.25">
      <c r="A78" s="38">
        <f>+IF(B78="","",SUBTOTAL(3,$B$5:B78))</f>
        <v>74</v>
      </c>
      <c r="B78" s="39" t="s">
        <v>470</v>
      </c>
      <c r="C78" s="40" t="s">
        <v>439</v>
      </c>
      <c r="D78" s="41">
        <v>45845</v>
      </c>
      <c r="E78" s="38">
        <v>100</v>
      </c>
      <c r="F78" s="41">
        <v>45845</v>
      </c>
      <c r="G78" s="41">
        <v>45880</v>
      </c>
      <c r="H78" s="38" t="s">
        <v>444</v>
      </c>
      <c r="I78" s="38" t="s">
        <v>445</v>
      </c>
      <c r="J78" s="42"/>
      <c r="K78" s="38" t="s">
        <v>380</v>
      </c>
    </row>
    <row r="79" spans="1:11" ht="30" x14ac:dyDescent="0.25">
      <c r="A79" s="38">
        <f>+IF(B79="","",SUBTOTAL(3,$B$5:B79))</f>
        <v>75</v>
      </c>
      <c r="B79" s="39" t="s">
        <v>531</v>
      </c>
      <c r="C79" s="40" t="s">
        <v>457</v>
      </c>
      <c r="D79" s="41">
        <v>45845</v>
      </c>
      <c r="E79" s="38">
        <v>100</v>
      </c>
      <c r="F79" s="41">
        <v>45848</v>
      </c>
      <c r="G79" s="41">
        <v>45875</v>
      </c>
      <c r="H79" s="38" t="s">
        <v>444</v>
      </c>
      <c r="I79" s="38" t="s">
        <v>445</v>
      </c>
      <c r="J79" s="42"/>
      <c r="K79" s="38" t="s">
        <v>381</v>
      </c>
    </row>
    <row r="80" spans="1:11" x14ac:dyDescent="0.25">
      <c r="A80" s="38">
        <f>+IF(B80="","",SUBTOTAL(3,$B$5:B80))</f>
        <v>76</v>
      </c>
      <c r="B80" s="39" t="s">
        <v>532</v>
      </c>
      <c r="C80" s="40" t="s">
        <v>439</v>
      </c>
      <c r="D80" s="41">
        <v>45845</v>
      </c>
      <c r="E80" s="38">
        <v>100</v>
      </c>
      <c r="F80" s="41">
        <v>45852</v>
      </c>
      <c r="G80" s="41">
        <v>45887</v>
      </c>
      <c r="H80" s="38" t="s">
        <v>444</v>
      </c>
      <c r="I80" s="38" t="s">
        <v>445</v>
      </c>
      <c r="J80" s="42"/>
      <c r="K80" s="38" t="s">
        <v>382</v>
      </c>
    </row>
    <row r="81" spans="1:11" ht="30" x14ac:dyDescent="0.25">
      <c r="A81" s="38">
        <f>+IF(B81="","",SUBTOTAL(3,$B$5:B81))</f>
        <v>77</v>
      </c>
      <c r="B81" s="39" t="s">
        <v>465</v>
      </c>
      <c r="C81" s="40" t="s">
        <v>439</v>
      </c>
      <c r="D81" s="41">
        <v>45845</v>
      </c>
      <c r="E81" s="38">
        <v>101</v>
      </c>
      <c r="F81" s="41">
        <v>45845</v>
      </c>
      <c r="G81" s="41">
        <v>45880</v>
      </c>
      <c r="H81" s="38" t="s">
        <v>444</v>
      </c>
      <c r="I81" s="38" t="s">
        <v>445</v>
      </c>
      <c r="J81" s="42"/>
      <c r="K81" s="38" t="s">
        <v>383</v>
      </c>
    </row>
    <row r="82" spans="1:11" x14ac:dyDescent="0.25">
      <c r="A82" s="38">
        <f>+IF(B82="","",SUBTOTAL(3,$B$5:B82))</f>
        <v>78</v>
      </c>
      <c r="B82" s="39" t="s">
        <v>533</v>
      </c>
      <c r="C82" s="40" t="s">
        <v>451</v>
      </c>
      <c r="D82" s="41">
        <v>45855</v>
      </c>
      <c r="E82" s="38">
        <v>104</v>
      </c>
      <c r="F82" s="41">
        <v>45859</v>
      </c>
      <c r="G82" s="41">
        <v>45894</v>
      </c>
      <c r="H82" s="38" t="s">
        <v>444</v>
      </c>
      <c r="I82" s="38" t="s">
        <v>445</v>
      </c>
      <c r="J82" s="42"/>
      <c r="K82" s="38" t="s">
        <v>384</v>
      </c>
    </row>
    <row r="83" spans="1:11" ht="30" x14ac:dyDescent="0.25">
      <c r="A83" s="38">
        <f>+IF(B83="","",SUBTOTAL(3,$B$5:B83))</f>
        <v>79</v>
      </c>
      <c r="B83" s="39" t="s">
        <v>534</v>
      </c>
      <c r="C83" s="40" t="s">
        <v>449</v>
      </c>
      <c r="D83" s="41">
        <v>45855</v>
      </c>
      <c r="E83" s="38">
        <v>105</v>
      </c>
      <c r="F83" s="41">
        <v>45859</v>
      </c>
      <c r="G83" s="41">
        <v>45890</v>
      </c>
      <c r="H83" s="38" t="s">
        <v>444</v>
      </c>
      <c r="I83" s="38" t="s">
        <v>445</v>
      </c>
      <c r="J83" s="42"/>
      <c r="K83" s="38" t="s">
        <v>385</v>
      </c>
    </row>
    <row r="84" spans="1:11" x14ac:dyDescent="0.25">
      <c r="A84" s="38">
        <f>+IF(B84="","",SUBTOTAL(3,$B$5:B84))</f>
        <v>80</v>
      </c>
      <c r="B84" s="39" t="s">
        <v>535</v>
      </c>
      <c r="C84" s="40" t="s">
        <v>439</v>
      </c>
      <c r="D84" s="41">
        <v>45859</v>
      </c>
      <c r="E84" s="38">
        <v>106</v>
      </c>
      <c r="F84" s="41">
        <v>45859</v>
      </c>
      <c r="G84" s="41">
        <v>45894</v>
      </c>
      <c r="H84" s="38" t="s">
        <v>444</v>
      </c>
      <c r="I84" s="38" t="s">
        <v>445</v>
      </c>
      <c r="J84" s="42"/>
      <c r="K84" s="38" t="s">
        <v>386</v>
      </c>
    </row>
    <row r="85" spans="1:11" x14ac:dyDescent="0.25">
      <c r="A85" s="38">
        <f>+IF(B85="","",SUBTOTAL(3,$B$5:B85))</f>
        <v>81</v>
      </c>
      <c r="B85" s="39" t="s">
        <v>516</v>
      </c>
      <c r="C85" s="40" t="s">
        <v>451</v>
      </c>
      <c r="D85" s="41">
        <v>45863</v>
      </c>
      <c r="E85" s="38">
        <v>108</v>
      </c>
      <c r="F85" s="41">
        <v>45863</v>
      </c>
      <c r="G85" s="41">
        <v>45882</v>
      </c>
      <c r="H85" s="38" t="s">
        <v>444</v>
      </c>
      <c r="I85" s="38" t="s">
        <v>536</v>
      </c>
      <c r="J85" s="42"/>
      <c r="K85" s="38" t="s">
        <v>354</v>
      </c>
    </row>
    <row r="86" spans="1:11" x14ac:dyDescent="0.25">
      <c r="A86" s="38">
        <f>+IF(B86="","",SUBTOTAL(3,$B$5:B86))</f>
        <v>82</v>
      </c>
      <c r="B86" s="39" t="s">
        <v>537</v>
      </c>
      <c r="C86" s="40" t="s">
        <v>442</v>
      </c>
      <c r="D86" s="41">
        <v>45867</v>
      </c>
      <c r="E86" s="38">
        <v>109</v>
      </c>
      <c r="F86" s="41">
        <v>45873</v>
      </c>
      <c r="G86" s="41">
        <v>45909</v>
      </c>
      <c r="H86" s="38" t="s">
        <v>444</v>
      </c>
      <c r="I86" s="38" t="s">
        <v>445</v>
      </c>
      <c r="J86" s="42"/>
      <c r="K86" s="38" t="s">
        <v>387</v>
      </c>
    </row>
    <row r="87" spans="1:11" ht="30" x14ac:dyDescent="0.25">
      <c r="A87" s="38">
        <f>+IF(B87="","",SUBTOTAL(3,$B$5:B87))</f>
        <v>83</v>
      </c>
      <c r="B87" s="39" t="s">
        <v>538</v>
      </c>
      <c r="C87" s="40" t="s">
        <v>462</v>
      </c>
      <c r="D87" s="41">
        <v>45867</v>
      </c>
      <c r="E87" s="38">
        <v>109</v>
      </c>
      <c r="F87" s="41">
        <v>45870</v>
      </c>
      <c r="G87" s="41">
        <v>45902</v>
      </c>
      <c r="H87" s="38" t="s">
        <v>444</v>
      </c>
      <c r="I87" s="38" t="s">
        <v>445</v>
      </c>
      <c r="J87" s="42"/>
      <c r="K87" s="38" t="s">
        <v>388</v>
      </c>
    </row>
    <row r="88" spans="1:11" x14ac:dyDescent="0.25">
      <c r="A88" s="38">
        <f>+IF(B88="","",SUBTOTAL(3,$B$5:B88))</f>
        <v>84</v>
      </c>
      <c r="B88" s="39" t="s">
        <v>539</v>
      </c>
      <c r="C88" s="40" t="s">
        <v>442</v>
      </c>
      <c r="D88" s="41">
        <v>45867</v>
      </c>
      <c r="E88" s="38">
        <v>109</v>
      </c>
      <c r="F88" s="41">
        <v>45873</v>
      </c>
      <c r="G88" s="41">
        <v>45909</v>
      </c>
      <c r="H88" s="38" t="s">
        <v>444</v>
      </c>
      <c r="I88" s="38" t="s">
        <v>445</v>
      </c>
      <c r="J88" s="42"/>
      <c r="K88" s="38" t="s">
        <v>389</v>
      </c>
    </row>
    <row r="89" spans="1:11" ht="30" x14ac:dyDescent="0.25">
      <c r="A89" s="38">
        <f>+IF(B89="","",SUBTOTAL(3,$B$5:B89))</f>
        <v>85</v>
      </c>
      <c r="B89" s="39" t="s">
        <v>540</v>
      </c>
      <c r="C89" s="40" t="s">
        <v>472</v>
      </c>
      <c r="D89" s="41">
        <v>45867</v>
      </c>
      <c r="E89" s="38">
        <v>109</v>
      </c>
      <c r="F89" s="41">
        <v>45873</v>
      </c>
      <c r="G89" s="41">
        <v>45887</v>
      </c>
      <c r="H89" s="38" t="s">
        <v>444</v>
      </c>
      <c r="I89" s="38" t="s">
        <v>463</v>
      </c>
      <c r="J89" s="42"/>
      <c r="K89" s="38" t="s">
        <v>390</v>
      </c>
    </row>
    <row r="90" spans="1:11" x14ac:dyDescent="0.25">
      <c r="A90" s="38">
        <f>+IF(B90="","",SUBTOTAL(3,$B$5:B90))</f>
        <v>86</v>
      </c>
      <c r="B90" s="39" t="s">
        <v>497</v>
      </c>
      <c r="C90" s="40" t="s">
        <v>442</v>
      </c>
      <c r="D90" s="41">
        <v>45868</v>
      </c>
      <c r="E90" s="38">
        <v>110</v>
      </c>
      <c r="F90" s="41">
        <v>45870</v>
      </c>
      <c r="G90" s="41">
        <v>45908</v>
      </c>
      <c r="H90" s="38" t="s">
        <v>444</v>
      </c>
      <c r="I90" s="38" t="s">
        <v>445</v>
      </c>
      <c r="J90" s="42"/>
      <c r="K90" s="38" t="s">
        <v>391</v>
      </c>
    </row>
    <row r="91" spans="1:11" ht="30" x14ac:dyDescent="0.25">
      <c r="A91" s="38">
        <f>+IF(B91="","",SUBTOTAL(3,$B$5:B91))</f>
        <v>87</v>
      </c>
      <c r="B91" s="39" t="s">
        <v>541</v>
      </c>
      <c r="C91" s="40" t="s">
        <v>472</v>
      </c>
      <c r="D91" s="41">
        <v>45870</v>
      </c>
      <c r="E91" s="38">
        <v>112</v>
      </c>
      <c r="F91" s="41">
        <v>45880</v>
      </c>
      <c r="G91" s="41">
        <v>45915</v>
      </c>
      <c r="H91" s="38" t="s">
        <v>444</v>
      </c>
      <c r="I91" s="38" t="s">
        <v>445</v>
      </c>
      <c r="J91" s="42"/>
      <c r="K91" s="38" t="s">
        <v>392</v>
      </c>
    </row>
    <row r="92" spans="1:11" x14ac:dyDescent="0.25">
      <c r="A92" s="38">
        <f>+IF(B92="","",SUBTOTAL(3,$B$5:B92))</f>
        <v>88</v>
      </c>
      <c r="B92" s="39" t="s">
        <v>438</v>
      </c>
      <c r="C92" s="40" t="s">
        <v>439</v>
      </c>
      <c r="D92" s="41">
        <v>45870</v>
      </c>
      <c r="E92" s="38">
        <v>112</v>
      </c>
      <c r="F92" s="41">
        <v>45873</v>
      </c>
      <c r="G92" s="41">
        <v>45909</v>
      </c>
      <c r="H92" s="38" t="s">
        <v>444</v>
      </c>
      <c r="I92" s="38" t="s">
        <v>445</v>
      </c>
      <c r="J92" s="42"/>
      <c r="K92" s="38" t="s">
        <v>393</v>
      </c>
    </row>
    <row r="93" spans="1:11" ht="60" x14ac:dyDescent="0.25">
      <c r="A93" s="38">
        <f>+IF(B93="","",SUBTOTAL(3,$B$5:B93))</f>
        <v>89</v>
      </c>
      <c r="B93" s="39" t="s">
        <v>542</v>
      </c>
      <c r="C93" s="40" t="s">
        <v>543</v>
      </c>
      <c r="D93" s="41">
        <v>45870</v>
      </c>
      <c r="E93" s="38">
        <v>112</v>
      </c>
      <c r="F93" s="41">
        <v>45880</v>
      </c>
      <c r="G93" s="41">
        <v>45910</v>
      </c>
      <c r="H93" s="38" t="s">
        <v>444</v>
      </c>
      <c r="I93" s="38" t="s">
        <v>445</v>
      </c>
      <c r="J93" s="42"/>
      <c r="K93" s="38" t="s">
        <v>363</v>
      </c>
    </row>
    <row r="94" spans="1:11" ht="45" x14ac:dyDescent="0.25">
      <c r="A94" s="38">
        <f>+IF(B94="","",SUBTOTAL(3,$B$5:B94))</f>
        <v>90</v>
      </c>
      <c r="B94" s="39" t="s">
        <v>544</v>
      </c>
      <c r="C94" s="40" t="s">
        <v>523</v>
      </c>
      <c r="D94" s="41">
        <v>45870</v>
      </c>
      <c r="E94" s="38">
        <v>112</v>
      </c>
      <c r="F94" s="41">
        <v>45874</v>
      </c>
      <c r="G94" s="41">
        <v>45908</v>
      </c>
      <c r="H94" s="38" t="s">
        <v>444</v>
      </c>
      <c r="I94" s="38" t="s">
        <v>445</v>
      </c>
      <c r="J94" s="42"/>
      <c r="K94" s="38" t="s">
        <v>394</v>
      </c>
    </row>
    <row r="95" spans="1:11" x14ac:dyDescent="0.25">
      <c r="A95" s="38">
        <f>+IF(B95="","",SUBTOTAL(3,$B$5:B95))</f>
        <v>91</v>
      </c>
      <c r="B95" s="39" t="s">
        <v>545</v>
      </c>
      <c r="C95" s="40" t="s">
        <v>439</v>
      </c>
      <c r="D95" s="41">
        <v>45870</v>
      </c>
      <c r="E95" s="38">
        <v>112</v>
      </c>
      <c r="F95" s="41">
        <v>45876</v>
      </c>
      <c r="G95" s="41">
        <v>45912</v>
      </c>
      <c r="H95" s="38" t="s">
        <v>444</v>
      </c>
      <c r="I95" s="38" t="s">
        <v>445</v>
      </c>
      <c r="J95" s="42"/>
      <c r="K95" s="38" t="s">
        <v>342</v>
      </c>
    </row>
    <row r="96" spans="1:11" ht="45" x14ac:dyDescent="0.25">
      <c r="A96" s="38">
        <f>+IF(B96="","",SUBTOTAL(3,$B$5:B96))</f>
        <v>92</v>
      </c>
      <c r="B96" s="39" t="s">
        <v>546</v>
      </c>
      <c r="C96" s="40" t="s">
        <v>447</v>
      </c>
      <c r="D96" s="41">
        <v>45870</v>
      </c>
      <c r="E96" s="38">
        <v>112</v>
      </c>
      <c r="F96" s="41">
        <v>45873</v>
      </c>
      <c r="G96" s="41">
        <v>45903</v>
      </c>
      <c r="H96" s="38" t="s">
        <v>444</v>
      </c>
      <c r="I96" s="38" t="s">
        <v>445</v>
      </c>
      <c r="J96" s="42"/>
      <c r="K96" s="38" t="s">
        <v>394</v>
      </c>
    </row>
    <row r="97" spans="1:11" ht="45" x14ac:dyDescent="0.25">
      <c r="A97" s="38">
        <f>+IF(B97="","",SUBTOTAL(3,$B$5:B97))</f>
        <v>93</v>
      </c>
      <c r="B97" s="39" t="s">
        <v>547</v>
      </c>
      <c r="C97" s="40" t="s">
        <v>484</v>
      </c>
      <c r="D97" s="41">
        <v>45870</v>
      </c>
      <c r="E97" s="38">
        <v>112</v>
      </c>
      <c r="F97" s="41">
        <v>45873</v>
      </c>
      <c r="G97" s="41">
        <v>45905</v>
      </c>
      <c r="H97" s="38" t="s">
        <v>444</v>
      </c>
      <c r="I97" s="38" t="s">
        <v>445</v>
      </c>
      <c r="J97" s="42"/>
      <c r="K97" s="38" t="s">
        <v>395</v>
      </c>
    </row>
    <row r="98" spans="1:11" ht="30" x14ac:dyDescent="0.25">
      <c r="A98" s="38">
        <f>+IF(B98="","",SUBTOTAL(3,$B$5:B98))</f>
        <v>94</v>
      </c>
      <c r="B98" s="39" t="s">
        <v>548</v>
      </c>
      <c r="C98" s="40" t="s">
        <v>486</v>
      </c>
      <c r="D98" s="41">
        <v>45870</v>
      </c>
      <c r="E98" s="38">
        <v>113</v>
      </c>
      <c r="F98" s="41">
        <v>45880</v>
      </c>
      <c r="G98" s="41">
        <v>45916</v>
      </c>
      <c r="H98" s="38" t="s">
        <v>444</v>
      </c>
      <c r="I98" s="38" t="s">
        <v>445</v>
      </c>
      <c r="J98" s="42"/>
      <c r="K98" s="38" t="s">
        <v>395</v>
      </c>
    </row>
    <row r="99" spans="1:11" x14ac:dyDescent="0.25">
      <c r="A99" s="38">
        <f>+IF(B99="","",SUBTOTAL(3,$B$5:B99))</f>
        <v>95</v>
      </c>
      <c r="B99" s="39" t="s">
        <v>549</v>
      </c>
      <c r="C99" s="40" t="s">
        <v>439</v>
      </c>
      <c r="D99" s="41">
        <v>45875</v>
      </c>
      <c r="E99" s="38">
        <v>114</v>
      </c>
      <c r="F99" s="41">
        <v>45880</v>
      </c>
      <c r="G99" s="41">
        <v>45916</v>
      </c>
      <c r="H99" s="38" t="s">
        <v>444</v>
      </c>
      <c r="I99" s="38" t="s">
        <v>445</v>
      </c>
      <c r="J99" s="42"/>
      <c r="K99" s="38" t="s">
        <v>396</v>
      </c>
    </row>
    <row r="100" spans="1:11" ht="30" x14ac:dyDescent="0.25">
      <c r="A100" s="38">
        <f>+IF(B100="","",SUBTOTAL(3,$B$5:B100))</f>
        <v>96</v>
      </c>
      <c r="B100" s="39" t="s">
        <v>550</v>
      </c>
      <c r="C100" s="40" t="s">
        <v>495</v>
      </c>
      <c r="D100" s="41">
        <v>45875</v>
      </c>
      <c r="E100" s="38">
        <v>114</v>
      </c>
      <c r="F100" s="41">
        <v>45880</v>
      </c>
      <c r="G100" s="41">
        <v>45919</v>
      </c>
      <c r="H100" s="38" t="s">
        <v>444</v>
      </c>
      <c r="I100" s="38" t="s">
        <v>445</v>
      </c>
      <c r="J100" s="42"/>
      <c r="K100" s="38" t="s">
        <v>397</v>
      </c>
    </row>
    <row r="101" spans="1:11" x14ac:dyDescent="0.25">
      <c r="A101" s="38">
        <f>+IF(B101="","",SUBTOTAL(3,$B$5:B101))</f>
        <v>97</v>
      </c>
      <c r="B101" s="39" t="s">
        <v>551</v>
      </c>
      <c r="C101" s="40" t="s">
        <v>439</v>
      </c>
      <c r="D101" s="41">
        <v>45875</v>
      </c>
      <c r="E101" s="38">
        <v>114</v>
      </c>
      <c r="F101" s="41">
        <v>45887</v>
      </c>
      <c r="G101" s="41">
        <v>45922</v>
      </c>
      <c r="H101" s="38" t="s">
        <v>444</v>
      </c>
      <c r="I101" s="38" t="s">
        <v>445</v>
      </c>
      <c r="J101" s="42"/>
      <c r="K101" s="38" t="s">
        <v>398</v>
      </c>
    </row>
    <row r="102" spans="1:11" ht="30" x14ac:dyDescent="0.25">
      <c r="A102" s="38">
        <f>+IF(B102="","",SUBTOTAL(3,$B$5:B102))</f>
        <v>98</v>
      </c>
      <c r="B102" s="39" t="s">
        <v>552</v>
      </c>
      <c r="C102" s="40" t="s">
        <v>472</v>
      </c>
      <c r="D102" s="41">
        <v>45883</v>
      </c>
      <c r="E102" s="38">
        <v>116</v>
      </c>
      <c r="F102" s="41">
        <v>45883</v>
      </c>
      <c r="G102" s="41">
        <v>45905</v>
      </c>
      <c r="H102" s="38" t="s">
        <v>444</v>
      </c>
      <c r="I102" s="38" t="s">
        <v>445</v>
      </c>
      <c r="J102" s="42" t="s">
        <v>455</v>
      </c>
      <c r="K102" s="38" t="s">
        <v>399</v>
      </c>
    </row>
    <row r="103" spans="1:11" ht="45" x14ac:dyDescent="0.25">
      <c r="A103" s="38">
        <f>+IF(B103="","",SUBTOTAL(3,$B$5:B103))</f>
        <v>99</v>
      </c>
      <c r="B103" s="39" t="s">
        <v>553</v>
      </c>
      <c r="C103" s="40" t="s">
        <v>484</v>
      </c>
      <c r="D103" s="41">
        <v>45883</v>
      </c>
      <c r="E103" s="38">
        <v>116</v>
      </c>
      <c r="F103" s="41">
        <v>45887</v>
      </c>
      <c r="G103" s="41">
        <v>45908</v>
      </c>
      <c r="H103" s="38" t="s">
        <v>444</v>
      </c>
      <c r="I103" s="38" t="s">
        <v>463</v>
      </c>
      <c r="J103" s="42"/>
      <c r="K103" s="38" t="s">
        <v>400</v>
      </c>
    </row>
    <row r="104" spans="1:11" x14ac:dyDescent="0.25">
      <c r="A104" s="38">
        <f>+IF(B104="","",SUBTOTAL(3,$B$5:B104))</f>
        <v>100</v>
      </c>
      <c r="B104" s="39" t="s">
        <v>554</v>
      </c>
      <c r="C104" s="40" t="s">
        <v>439</v>
      </c>
      <c r="D104" s="41">
        <v>45883</v>
      </c>
      <c r="E104" s="38">
        <v>118</v>
      </c>
      <c r="F104" s="41">
        <v>45887</v>
      </c>
      <c r="G104" s="41">
        <v>45923</v>
      </c>
      <c r="H104" s="38" t="s">
        <v>444</v>
      </c>
      <c r="I104" s="38" t="s">
        <v>445</v>
      </c>
      <c r="J104" s="42"/>
      <c r="K104" s="38" t="s">
        <v>401</v>
      </c>
    </row>
    <row r="105" spans="1:11" x14ac:dyDescent="0.25">
      <c r="A105" s="38">
        <f>+IF(B105="","",SUBTOTAL(3,$B$5:B105))</f>
        <v>101</v>
      </c>
      <c r="B105" s="39" t="s">
        <v>555</v>
      </c>
      <c r="C105" s="40" t="s">
        <v>556</v>
      </c>
      <c r="D105" s="41">
        <v>45883</v>
      </c>
      <c r="E105" s="38">
        <v>118</v>
      </c>
      <c r="F105" s="41">
        <v>45887</v>
      </c>
      <c r="G105" s="41">
        <v>45923</v>
      </c>
      <c r="H105" s="38" t="s">
        <v>444</v>
      </c>
      <c r="I105" s="38" t="s">
        <v>445</v>
      </c>
      <c r="J105" s="42"/>
      <c r="K105" s="38" t="s">
        <v>402</v>
      </c>
    </row>
    <row r="106" spans="1:11" ht="30" x14ac:dyDescent="0.25">
      <c r="A106" s="38">
        <f>+IF(B106="","",SUBTOTAL(3,$B$5:B106))</f>
        <v>102</v>
      </c>
      <c r="B106" s="39" t="s">
        <v>557</v>
      </c>
      <c r="C106" s="40" t="s">
        <v>449</v>
      </c>
      <c r="D106" s="41">
        <v>45894</v>
      </c>
      <c r="E106" s="38">
        <v>119</v>
      </c>
      <c r="F106" s="41">
        <v>45902</v>
      </c>
      <c r="G106" s="41">
        <v>45931</v>
      </c>
      <c r="H106" s="38" t="s">
        <v>444</v>
      </c>
      <c r="I106" s="38" t="s">
        <v>445</v>
      </c>
      <c r="J106" s="42"/>
      <c r="K106" s="38" t="s">
        <v>403</v>
      </c>
    </row>
    <row r="107" spans="1:11" x14ac:dyDescent="0.25">
      <c r="A107" s="38">
        <f>+IF(B107="","",SUBTOTAL(3,$B$5:B107))</f>
        <v>103</v>
      </c>
      <c r="B107" s="39" t="s">
        <v>558</v>
      </c>
      <c r="C107" s="40" t="s">
        <v>439</v>
      </c>
      <c r="D107" s="41">
        <v>45894</v>
      </c>
      <c r="E107" s="38">
        <v>119</v>
      </c>
      <c r="F107" s="41">
        <v>45894</v>
      </c>
      <c r="G107" s="41">
        <v>45936</v>
      </c>
      <c r="H107" s="38" t="s">
        <v>444</v>
      </c>
      <c r="I107" s="38" t="s">
        <v>445</v>
      </c>
      <c r="J107" s="42"/>
      <c r="K107" s="38" t="s">
        <v>404</v>
      </c>
    </row>
    <row r="108" spans="1:11" ht="30" x14ac:dyDescent="0.25">
      <c r="A108" s="38">
        <f>+IF(B108="","",SUBTOTAL(3,$B$5:B108))</f>
        <v>104</v>
      </c>
      <c r="B108" s="39" t="s">
        <v>559</v>
      </c>
      <c r="C108" s="40" t="s">
        <v>472</v>
      </c>
      <c r="D108" s="41">
        <v>45895</v>
      </c>
      <c r="E108" s="38">
        <v>122</v>
      </c>
      <c r="F108" s="41">
        <v>45894</v>
      </c>
      <c r="G108" s="41">
        <v>45909</v>
      </c>
      <c r="H108" s="38" t="s">
        <v>444</v>
      </c>
      <c r="I108" s="38" t="s">
        <v>463</v>
      </c>
      <c r="J108" s="42"/>
      <c r="K108" s="38" t="s">
        <v>405</v>
      </c>
    </row>
    <row r="109" spans="1:11" ht="30" x14ac:dyDescent="0.25">
      <c r="A109" s="38">
        <f>+IF(B109="","",SUBTOTAL(3,$B$5:B109))</f>
        <v>105</v>
      </c>
      <c r="B109" s="39" t="s">
        <v>560</v>
      </c>
      <c r="C109" s="40" t="s">
        <v>477</v>
      </c>
      <c r="D109" s="41">
        <v>45895</v>
      </c>
      <c r="E109" s="38">
        <v>122</v>
      </c>
      <c r="F109" s="41">
        <v>45902</v>
      </c>
      <c r="G109" s="41">
        <v>45936</v>
      </c>
      <c r="H109" s="38" t="s">
        <v>444</v>
      </c>
      <c r="I109" s="38" t="s">
        <v>445</v>
      </c>
      <c r="J109" s="42"/>
      <c r="K109" s="38" t="s">
        <v>406</v>
      </c>
    </row>
    <row r="110" spans="1:11" ht="45" x14ac:dyDescent="0.25">
      <c r="A110" s="38">
        <f>+IF(B110="","",SUBTOTAL(3,$B$5:B110))</f>
        <v>106</v>
      </c>
      <c r="B110" s="39" t="s">
        <v>561</v>
      </c>
      <c r="C110" s="40" t="s">
        <v>484</v>
      </c>
      <c r="D110" s="41">
        <v>45902</v>
      </c>
      <c r="E110" s="38">
        <v>124</v>
      </c>
      <c r="F110" s="41">
        <v>45902</v>
      </c>
      <c r="G110" s="41">
        <v>45931</v>
      </c>
      <c r="H110" s="38" t="s">
        <v>444</v>
      </c>
      <c r="I110" s="38" t="s">
        <v>445</v>
      </c>
      <c r="J110" s="42"/>
      <c r="K110" s="38" t="s">
        <v>344</v>
      </c>
    </row>
    <row r="111" spans="1:11" x14ac:dyDescent="0.25">
      <c r="A111" s="38">
        <f>+IF(B111="","",SUBTOTAL(3,$B$5:B111))</f>
        <v>107</v>
      </c>
      <c r="B111" s="39" t="s">
        <v>562</v>
      </c>
      <c r="C111" s="40" t="s">
        <v>439</v>
      </c>
      <c r="D111" s="41">
        <v>45902</v>
      </c>
      <c r="E111" s="38">
        <v>124</v>
      </c>
      <c r="F111" s="41">
        <v>45910</v>
      </c>
      <c r="G111" s="41">
        <v>45945</v>
      </c>
      <c r="H111" s="38" t="s">
        <v>444</v>
      </c>
      <c r="I111" s="38" t="s">
        <v>445</v>
      </c>
      <c r="J111" s="42"/>
      <c r="K111" s="38" t="s">
        <v>382</v>
      </c>
    </row>
    <row r="112" spans="1:11" ht="60" x14ac:dyDescent="0.25">
      <c r="A112" s="38">
        <f>+IF(B112="","",SUBTOTAL(3,$B$5:B112))</f>
        <v>108</v>
      </c>
      <c r="B112" s="39" t="s">
        <v>563</v>
      </c>
      <c r="C112" s="40" t="s">
        <v>543</v>
      </c>
      <c r="D112" s="41">
        <v>45902</v>
      </c>
      <c r="E112" s="38">
        <v>124</v>
      </c>
      <c r="F112" s="41">
        <v>45908</v>
      </c>
      <c r="G112" s="41">
        <v>45924</v>
      </c>
      <c r="H112" s="38" t="s">
        <v>444</v>
      </c>
      <c r="I112" s="38" t="s">
        <v>463</v>
      </c>
      <c r="J112" s="42"/>
      <c r="K112" s="38" t="s">
        <v>407</v>
      </c>
    </row>
    <row r="113" spans="1:11" x14ac:dyDescent="0.25">
      <c r="A113" s="38">
        <f>+IF(B113="","",SUBTOTAL(3,$B$5:B113))</f>
        <v>109</v>
      </c>
      <c r="B113" s="39" t="s">
        <v>450</v>
      </c>
      <c r="C113" s="40" t="s">
        <v>451</v>
      </c>
      <c r="D113" s="41">
        <v>45903</v>
      </c>
      <c r="E113" s="38">
        <v>125</v>
      </c>
      <c r="F113" s="41">
        <v>45903</v>
      </c>
      <c r="G113" s="41">
        <v>45932</v>
      </c>
      <c r="H113" s="38" t="s">
        <v>440</v>
      </c>
      <c r="I113" s="38"/>
      <c r="J113" s="42"/>
      <c r="K113" s="38"/>
    </row>
    <row r="114" spans="1:11" x14ac:dyDescent="0.25">
      <c r="A114" s="38">
        <f>+IF(B114="","",SUBTOTAL(3,$B$5:B114))</f>
        <v>110</v>
      </c>
      <c r="B114" s="39" t="s">
        <v>460</v>
      </c>
      <c r="C114" s="40" t="s">
        <v>439</v>
      </c>
      <c r="D114" s="41">
        <v>45903</v>
      </c>
      <c r="E114" s="38">
        <v>125</v>
      </c>
      <c r="F114" s="41">
        <v>45903</v>
      </c>
      <c r="G114" s="41">
        <v>45932</v>
      </c>
      <c r="H114" s="38" t="s">
        <v>440</v>
      </c>
      <c r="I114" s="38"/>
      <c r="J114" s="42"/>
      <c r="K114" s="38"/>
    </row>
    <row r="115" spans="1:11" x14ac:dyDescent="0.25">
      <c r="A115" s="38">
        <f>+IF(B115="","",SUBTOTAL(3,$B$5:B115))</f>
        <v>111</v>
      </c>
      <c r="B115" s="39" t="s">
        <v>464</v>
      </c>
      <c r="C115" s="40" t="s">
        <v>439</v>
      </c>
      <c r="D115" s="41">
        <v>45903</v>
      </c>
      <c r="E115" s="38">
        <v>126</v>
      </c>
      <c r="F115" s="41">
        <v>45915</v>
      </c>
      <c r="G115" s="41">
        <v>45942</v>
      </c>
      <c r="H115" s="38" t="s">
        <v>440</v>
      </c>
      <c r="I115" s="38"/>
      <c r="J115" s="42"/>
      <c r="K115" s="38"/>
    </row>
    <row r="116" spans="1:11" x14ac:dyDescent="0.25">
      <c r="A116" s="38">
        <f>+IF(B116="","",SUBTOTAL(3,$B$5:B116))</f>
        <v>112</v>
      </c>
      <c r="B116" s="39" t="s">
        <v>453</v>
      </c>
      <c r="C116" s="40" t="s">
        <v>439</v>
      </c>
      <c r="D116" s="41">
        <v>45903</v>
      </c>
      <c r="E116" s="38">
        <v>126</v>
      </c>
      <c r="F116" s="41">
        <v>45915</v>
      </c>
      <c r="G116" s="41">
        <v>45942</v>
      </c>
      <c r="H116" s="38" t="s">
        <v>440</v>
      </c>
      <c r="I116" s="38"/>
      <c r="J116" s="42"/>
      <c r="K116" s="38"/>
    </row>
    <row r="117" spans="1:11" ht="30" x14ac:dyDescent="0.25">
      <c r="A117" s="38">
        <f>+IF(B117="","",SUBTOTAL(3,$B$5:B117))</f>
        <v>113</v>
      </c>
      <c r="B117" s="39" t="s">
        <v>465</v>
      </c>
      <c r="C117" s="40" t="s">
        <v>439</v>
      </c>
      <c r="D117" s="41">
        <v>45903</v>
      </c>
      <c r="E117" s="38">
        <v>126</v>
      </c>
      <c r="F117" s="41">
        <v>45915</v>
      </c>
      <c r="G117" s="41">
        <v>45942</v>
      </c>
      <c r="H117" s="38" t="s">
        <v>440</v>
      </c>
      <c r="I117" s="38"/>
      <c r="J117" s="42"/>
      <c r="K117" s="38"/>
    </row>
    <row r="118" spans="1:11" x14ac:dyDescent="0.25">
      <c r="A118" s="38">
        <f>+IF(B118="","",SUBTOTAL(3,$B$5:B118))</f>
        <v>114</v>
      </c>
      <c r="B118" s="39" t="s">
        <v>564</v>
      </c>
      <c r="C118" s="40" t="s">
        <v>439</v>
      </c>
      <c r="D118" s="41">
        <v>45903</v>
      </c>
      <c r="E118" s="38">
        <v>126</v>
      </c>
      <c r="F118" s="41">
        <v>45908</v>
      </c>
      <c r="G118" s="41">
        <v>45935</v>
      </c>
      <c r="H118" s="38" t="s">
        <v>440</v>
      </c>
      <c r="I118" s="38"/>
      <c r="J118" s="42"/>
      <c r="K118" s="38"/>
    </row>
    <row r="119" spans="1:11" x14ac:dyDescent="0.25">
      <c r="A119" s="38">
        <f>+IF(B119="","",SUBTOTAL(3,$B$5:B119))</f>
        <v>115</v>
      </c>
      <c r="B119" s="39" t="s">
        <v>493</v>
      </c>
      <c r="C119" s="40" t="s">
        <v>442</v>
      </c>
      <c r="D119" s="41">
        <v>45908</v>
      </c>
      <c r="E119" s="38">
        <v>127</v>
      </c>
      <c r="F119" s="41">
        <v>45908</v>
      </c>
      <c r="G119" s="41">
        <v>45935</v>
      </c>
      <c r="H119" s="38" t="s">
        <v>440</v>
      </c>
      <c r="I119" s="38"/>
      <c r="J119" s="42"/>
      <c r="K119" s="38"/>
    </row>
    <row r="120" spans="1:11" x14ac:dyDescent="0.25">
      <c r="A120" s="38">
        <f>+IF(B120="","",SUBTOTAL(3,$B$5:B120))</f>
        <v>116</v>
      </c>
      <c r="B120" s="39" t="s">
        <v>497</v>
      </c>
      <c r="C120" s="40" t="s">
        <v>442</v>
      </c>
      <c r="D120" s="41">
        <v>45908</v>
      </c>
      <c r="E120" s="38">
        <v>127</v>
      </c>
      <c r="F120" s="41">
        <v>45908</v>
      </c>
      <c r="G120" s="41">
        <v>45935</v>
      </c>
      <c r="H120" s="38" t="s">
        <v>440</v>
      </c>
      <c r="I120" s="38"/>
      <c r="J120" s="42"/>
      <c r="K120" s="38"/>
    </row>
    <row r="121" spans="1:11" ht="30" x14ac:dyDescent="0.25">
      <c r="A121" s="38">
        <f>+IF(B121="","",SUBTOTAL(3,$B$5:B121))</f>
        <v>117</v>
      </c>
      <c r="B121" s="39" t="s">
        <v>502</v>
      </c>
      <c r="C121" s="40" t="s">
        <v>503</v>
      </c>
      <c r="D121" s="41">
        <v>45908</v>
      </c>
      <c r="E121" s="38">
        <v>128</v>
      </c>
      <c r="F121" s="41">
        <v>45908</v>
      </c>
      <c r="G121" s="41">
        <v>45928</v>
      </c>
      <c r="H121" s="38" t="s">
        <v>444</v>
      </c>
      <c r="I121" s="38" t="s">
        <v>536</v>
      </c>
      <c r="J121" s="42"/>
      <c r="K121" s="38" t="s">
        <v>360</v>
      </c>
    </row>
    <row r="122" spans="1:11" x14ac:dyDescent="0.25">
      <c r="A122" s="38">
        <f>+IF(B122="","",SUBTOTAL(3,$B$5:B122))</f>
        <v>118</v>
      </c>
      <c r="B122" s="39" t="s">
        <v>565</v>
      </c>
      <c r="C122" s="40" t="s">
        <v>439</v>
      </c>
      <c r="D122" s="41">
        <v>45908</v>
      </c>
      <c r="E122" s="38">
        <v>128</v>
      </c>
      <c r="F122" s="41">
        <v>45915</v>
      </c>
      <c r="G122" s="41">
        <v>45951</v>
      </c>
      <c r="H122" s="38" t="s">
        <v>444</v>
      </c>
      <c r="I122" s="38" t="s">
        <v>445</v>
      </c>
      <c r="J122" s="42"/>
      <c r="K122" s="38" t="s">
        <v>347</v>
      </c>
    </row>
    <row r="123" spans="1:11" ht="30" x14ac:dyDescent="0.25">
      <c r="A123" s="38">
        <f>+IF(B123="","",SUBTOTAL(3,$B$5:B123))</f>
        <v>119</v>
      </c>
      <c r="B123" s="39" t="s">
        <v>566</v>
      </c>
      <c r="C123" s="40" t="s">
        <v>462</v>
      </c>
      <c r="D123" s="41">
        <v>45908</v>
      </c>
      <c r="E123" s="38">
        <v>128</v>
      </c>
      <c r="F123" s="41">
        <v>45908</v>
      </c>
      <c r="G123" s="41">
        <v>45938</v>
      </c>
      <c r="H123" s="38" t="s">
        <v>444</v>
      </c>
      <c r="I123" s="38" t="s">
        <v>445</v>
      </c>
      <c r="J123" s="42"/>
      <c r="K123" s="38" t="s">
        <v>408</v>
      </c>
    </row>
    <row r="124" spans="1:11" ht="45" x14ac:dyDescent="0.25">
      <c r="A124" s="38">
        <f>+IF(B124="","",SUBTOTAL(3,$B$5:B124))</f>
        <v>120</v>
      </c>
      <c r="B124" s="39" t="s">
        <v>567</v>
      </c>
      <c r="C124" s="40" t="s">
        <v>523</v>
      </c>
      <c r="D124" s="41">
        <v>45908</v>
      </c>
      <c r="E124" s="38">
        <v>128</v>
      </c>
      <c r="F124" s="41">
        <v>45909</v>
      </c>
      <c r="G124" s="41">
        <v>45945</v>
      </c>
      <c r="H124" s="38" t="s">
        <v>444</v>
      </c>
      <c r="I124" s="38" t="s">
        <v>445</v>
      </c>
      <c r="J124" s="42"/>
      <c r="K124" s="38" t="s">
        <v>409</v>
      </c>
    </row>
    <row r="125" spans="1:11" x14ac:dyDescent="0.25">
      <c r="A125" s="38">
        <f>+IF(B125="","",SUBTOTAL(3,$B$5:B125))</f>
        <v>121</v>
      </c>
      <c r="B125" s="39" t="s">
        <v>568</v>
      </c>
      <c r="C125" s="40" t="s">
        <v>439</v>
      </c>
      <c r="D125" s="41">
        <v>45908</v>
      </c>
      <c r="E125" s="38">
        <v>128</v>
      </c>
      <c r="F125" s="41">
        <v>45916</v>
      </c>
      <c r="G125" s="41">
        <v>45950</v>
      </c>
      <c r="H125" s="38" t="s">
        <v>444</v>
      </c>
      <c r="I125" s="38" t="s">
        <v>445</v>
      </c>
      <c r="J125" s="42"/>
      <c r="K125" s="38" t="s">
        <v>410</v>
      </c>
    </row>
    <row r="126" spans="1:11" x14ac:dyDescent="0.25">
      <c r="A126" s="38">
        <f>+IF(B126="","",SUBTOTAL(3,$B$5:B126))</f>
        <v>122</v>
      </c>
      <c r="B126" s="39" t="s">
        <v>470</v>
      </c>
      <c r="C126" s="40" t="s">
        <v>439</v>
      </c>
      <c r="D126" s="41">
        <v>45911</v>
      </c>
      <c r="E126" s="38">
        <v>132</v>
      </c>
      <c r="F126" s="41">
        <v>45936</v>
      </c>
      <c r="G126" s="41">
        <v>45964</v>
      </c>
      <c r="H126" s="38" t="s">
        <v>440</v>
      </c>
      <c r="I126" s="38"/>
      <c r="J126" s="42"/>
      <c r="K126" s="38"/>
    </row>
    <row r="127" spans="1:11" ht="30" x14ac:dyDescent="0.25">
      <c r="A127" s="38">
        <f>+IF(B127="","",SUBTOTAL(3,$B$5:B127))</f>
        <v>123</v>
      </c>
      <c r="B127" s="39" t="s">
        <v>569</v>
      </c>
      <c r="C127" s="40" t="s">
        <v>457</v>
      </c>
      <c r="D127" s="41">
        <v>45912</v>
      </c>
      <c r="E127" s="38">
        <v>133</v>
      </c>
      <c r="F127" s="41">
        <v>45915</v>
      </c>
      <c r="G127" s="41">
        <v>45951</v>
      </c>
      <c r="H127" s="38" t="s">
        <v>444</v>
      </c>
      <c r="I127" s="38"/>
      <c r="J127" s="42"/>
      <c r="K127" s="38" t="s">
        <v>411</v>
      </c>
    </row>
    <row r="128" spans="1:11" ht="30" x14ac:dyDescent="0.25">
      <c r="A128" s="38">
        <f>+IF(B128="","",SUBTOTAL(3,$B$5:B128))</f>
        <v>124</v>
      </c>
      <c r="B128" s="39" t="s">
        <v>570</v>
      </c>
      <c r="C128" s="40" t="s">
        <v>475</v>
      </c>
      <c r="D128" s="41">
        <v>45915</v>
      </c>
      <c r="E128" s="38">
        <v>134</v>
      </c>
      <c r="F128" s="41">
        <v>45926</v>
      </c>
      <c r="G128" s="41">
        <v>45964</v>
      </c>
      <c r="H128" s="38" t="s">
        <v>444</v>
      </c>
      <c r="I128" s="38"/>
      <c r="J128" s="42"/>
      <c r="K128" s="38" t="s">
        <v>412</v>
      </c>
    </row>
    <row r="129" spans="1:11" ht="30" x14ac:dyDescent="0.25">
      <c r="A129" s="38">
        <f>+IF(B129="","",SUBTOTAL(3,$B$5:B129))</f>
        <v>125</v>
      </c>
      <c r="B129" s="39" t="s">
        <v>522</v>
      </c>
      <c r="C129" s="40" t="s">
        <v>457</v>
      </c>
      <c r="D129" s="41">
        <v>45923</v>
      </c>
      <c r="E129" s="38">
        <v>136</v>
      </c>
      <c r="F129" s="41">
        <v>45925</v>
      </c>
      <c r="G129" s="41">
        <v>45932</v>
      </c>
      <c r="H129" s="38" t="s">
        <v>444</v>
      </c>
      <c r="I129" s="38" t="s">
        <v>536</v>
      </c>
      <c r="J129" s="42"/>
      <c r="K129" s="38" t="s">
        <v>373</v>
      </c>
    </row>
    <row r="130" spans="1:11" x14ac:dyDescent="0.25">
      <c r="A130" s="38">
        <f>+IF(B130="","",SUBTOTAL(3,$B$5:B130))</f>
        <v>126</v>
      </c>
      <c r="B130" s="39" t="s">
        <v>571</v>
      </c>
      <c r="C130" s="40" t="s">
        <v>439</v>
      </c>
      <c r="D130" s="41">
        <v>45923</v>
      </c>
      <c r="E130" s="38">
        <v>136</v>
      </c>
      <c r="F130" s="41">
        <v>45929</v>
      </c>
      <c r="G130" s="41">
        <v>45965</v>
      </c>
      <c r="H130" s="38" t="s">
        <v>444</v>
      </c>
      <c r="I130" s="38" t="s">
        <v>445</v>
      </c>
      <c r="J130" s="42"/>
      <c r="K130" s="38" t="s">
        <v>396</v>
      </c>
    </row>
    <row r="131" spans="1:11" ht="60" x14ac:dyDescent="0.25">
      <c r="A131" s="38">
        <f>+IF(B131="","",SUBTOTAL(3,$B$5:B131))</f>
        <v>127</v>
      </c>
      <c r="B131" s="39" t="s">
        <v>572</v>
      </c>
      <c r="C131" s="40" t="s">
        <v>543</v>
      </c>
      <c r="D131" s="41">
        <v>45925</v>
      </c>
      <c r="E131" s="38">
        <v>139</v>
      </c>
      <c r="F131" s="41">
        <v>45929</v>
      </c>
      <c r="G131" s="41">
        <v>45961</v>
      </c>
      <c r="H131" s="38" t="s">
        <v>444</v>
      </c>
      <c r="I131" s="38" t="s">
        <v>445</v>
      </c>
      <c r="J131" s="42"/>
      <c r="K131" s="38" t="s">
        <v>413</v>
      </c>
    </row>
    <row r="132" spans="1:11" x14ac:dyDescent="0.25">
      <c r="A132" s="38">
        <f>+IF(B132="","",SUBTOTAL(3,$B$5:B132))</f>
        <v>128</v>
      </c>
      <c r="B132" s="39" t="s">
        <v>498</v>
      </c>
      <c r="C132" s="40" t="s">
        <v>499</v>
      </c>
      <c r="D132" s="41">
        <v>45933</v>
      </c>
      <c r="E132" s="38">
        <v>142</v>
      </c>
      <c r="F132" s="41">
        <v>45943</v>
      </c>
      <c r="G132" s="41">
        <v>45960</v>
      </c>
      <c r="H132" s="38" t="s">
        <v>444</v>
      </c>
      <c r="I132" s="38" t="s">
        <v>536</v>
      </c>
      <c r="J132" s="42"/>
      <c r="K132" s="38" t="s">
        <v>357</v>
      </c>
    </row>
    <row r="133" spans="1:11" x14ac:dyDescent="0.25">
      <c r="A133" s="38">
        <f>+IF(B133="","",SUBTOTAL(3,$B$5:B133))</f>
        <v>129</v>
      </c>
      <c r="B133" s="39" t="s">
        <v>573</v>
      </c>
      <c r="C133" s="40" t="s">
        <v>442</v>
      </c>
      <c r="D133" s="41">
        <v>45933</v>
      </c>
      <c r="E133" s="38">
        <v>142</v>
      </c>
      <c r="F133" s="41">
        <v>45946</v>
      </c>
      <c r="G133" s="41">
        <v>45981</v>
      </c>
      <c r="H133" s="38" t="s">
        <v>444</v>
      </c>
      <c r="I133" s="38" t="s">
        <v>445</v>
      </c>
      <c r="J133" s="42"/>
      <c r="K133" s="38" t="s">
        <v>414</v>
      </c>
    </row>
    <row r="134" spans="1:11" ht="30" x14ac:dyDescent="0.25">
      <c r="A134" s="38">
        <f>+IF(B134="","",SUBTOTAL(3,$B$5:B134))</f>
        <v>130</v>
      </c>
      <c r="B134" s="39" t="s">
        <v>574</v>
      </c>
      <c r="C134" s="40" t="s">
        <v>477</v>
      </c>
      <c r="D134" s="41">
        <v>45933</v>
      </c>
      <c r="E134" s="38">
        <v>142</v>
      </c>
      <c r="F134" s="41">
        <v>45936</v>
      </c>
      <c r="G134" s="41">
        <v>45965</v>
      </c>
      <c r="H134" s="38" t="s">
        <v>444</v>
      </c>
      <c r="I134" s="38" t="s">
        <v>445</v>
      </c>
      <c r="J134" s="42"/>
      <c r="K134" s="38" t="s">
        <v>415</v>
      </c>
    </row>
    <row r="135" spans="1:11" x14ac:dyDescent="0.25">
      <c r="A135" s="38">
        <f>+IF(B135="","",SUBTOTAL(3,$B$5:B135))</f>
        <v>131</v>
      </c>
      <c r="B135" s="39" t="s">
        <v>575</v>
      </c>
      <c r="C135" s="40" t="s">
        <v>442</v>
      </c>
      <c r="D135" s="41">
        <v>45933</v>
      </c>
      <c r="E135" s="38">
        <v>143</v>
      </c>
      <c r="F135" s="41">
        <v>45936</v>
      </c>
      <c r="G135" s="41">
        <v>45964</v>
      </c>
      <c r="H135" s="38" t="s">
        <v>440</v>
      </c>
      <c r="I135" s="38"/>
      <c r="J135" s="42"/>
      <c r="K135" s="38"/>
    </row>
    <row r="136" spans="1:11" x14ac:dyDescent="0.25">
      <c r="A136" s="38">
        <f>+IF(B136="","",SUBTOTAL(3,$B$5:B136))</f>
        <v>132</v>
      </c>
      <c r="B136" s="39" t="s">
        <v>438</v>
      </c>
      <c r="C136" s="40" t="s">
        <v>439</v>
      </c>
      <c r="D136" s="41">
        <v>45933</v>
      </c>
      <c r="E136" s="38">
        <v>145</v>
      </c>
      <c r="F136" s="41">
        <v>45936</v>
      </c>
      <c r="G136" s="41">
        <v>45964</v>
      </c>
      <c r="H136" s="38" t="s">
        <v>440</v>
      </c>
      <c r="I136" s="38"/>
      <c r="J136" s="42"/>
      <c r="K136" s="38"/>
    </row>
    <row r="137" spans="1:11" x14ac:dyDescent="0.25">
      <c r="A137" s="38">
        <f>+IF(B137="","",SUBTOTAL(3,$B$5:B137))</f>
        <v>133</v>
      </c>
      <c r="B137" s="39" t="s">
        <v>576</v>
      </c>
      <c r="C137" s="40" t="s">
        <v>439</v>
      </c>
      <c r="D137" s="41">
        <v>45943</v>
      </c>
      <c r="E137" s="38">
        <v>146</v>
      </c>
      <c r="F137" s="41">
        <v>45945</v>
      </c>
      <c r="G137" s="41">
        <v>45980</v>
      </c>
      <c r="H137" s="38" t="s">
        <v>444</v>
      </c>
      <c r="I137" s="38" t="s">
        <v>445</v>
      </c>
      <c r="J137" s="42"/>
      <c r="K137" s="38" t="s">
        <v>396</v>
      </c>
    </row>
    <row r="138" spans="1:11" x14ac:dyDescent="0.25">
      <c r="A138" s="38">
        <f>+IF(B138="","",SUBTOTAL(3,$B$5:B138))</f>
        <v>134</v>
      </c>
      <c r="B138" s="39" t="s">
        <v>511</v>
      </c>
      <c r="C138" s="40" t="s">
        <v>442</v>
      </c>
      <c r="D138" s="41">
        <v>45943</v>
      </c>
      <c r="E138" s="38">
        <v>147</v>
      </c>
      <c r="F138" s="41">
        <v>45947</v>
      </c>
      <c r="G138" s="41">
        <v>45964</v>
      </c>
      <c r="H138" s="38" t="s">
        <v>444</v>
      </c>
      <c r="I138" s="38" t="s">
        <v>536</v>
      </c>
      <c r="J138" s="42"/>
      <c r="K138" s="38" t="s">
        <v>364</v>
      </c>
    </row>
    <row r="139" spans="1:11" x14ac:dyDescent="0.25">
      <c r="A139" s="38">
        <f>+IF(B139="","",SUBTOTAL(3,$B$5:B139))</f>
        <v>135</v>
      </c>
      <c r="B139" s="39" t="s">
        <v>464</v>
      </c>
      <c r="C139" s="40" t="s">
        <v>439</v>
      </c>
      <c r="D139" s="41">
        <v>45943</v>
      </c>
      <c r="E139" s="38">
        <v>148</v>
      </c>
      <c r="F139" s="41">
        <v>45950</v>
      </c>
      <c r="G139" s="41">
        <v>45985</v>
      </c>
      <c r="H139" s="38" t="s">
        <v>444</v>
      </c>
      <c r="I139" s="38" t="s">
        <v>445</v>
      </c>
      <c r="J139" s="42"/>
      <c r="K139" s="38" t="s">
        <v>416</v>
      </c>
    </row>
    <row r="140" spans="1:11" ht="30" x14ac:dyDescent="0.25">
      <c r="A140" s="38">
        <f>+IF(B140="","",SUBTOTAL(3,$B$5:B140))</f>
        <v>136</v>
      </c>
      <c r="B140" s="39" t="s">
        <v>458</v>
      </c>
      <c r="C140" s="40" t="s">
        <v>439</v>
      </c>
      <c r="D140" s="41">
        <v>45945</v>
      </c>
      <c r="E140" s="38">
        <v>149</v>
      </c>
      <c r="F140" s="41">
        <v>45950</v>
      </c>
      <c r="G140" s="41">
        <v>45978</v>
      </c>
      <c r="H140" s="38" t="s">
        <v>440</v>
      </c>
      <c r="I140" s="38"/>
      <c r="J140" s="42"/>
      <c r="K140" s="38"/>
    </row>
    <row r="141" spans="1:11" x14ac:dyDescent="0.25">
      <c r="A141" s="38">
        <f>+IF(B141="","",SUBTOTAL(3,$B$5:B141))</f>
        <v>137</v>
      </c>
      <c r="B141" s="39" t="s">
        <v>441</v>
      </c>
      <c r="C141" s="40" t="s">
        <v>442</v>
      </c>
      <c r="D141" s="41">
        <v>45945</v>
      </c>
      <c r="E141" s="38">
        <v>149</v>
      </c>
      <c r="F141" s="41">
        <v>45950</v>
      </c>
      <c r="G141" s="41">
        <v>45978</v>
      </c>
      <c r="H141" s="38" t="s">
        <v>440</v>
      </c>
      <c r="I141" s="38"/>
      <c r="J141" s="42"/>
      <c r="K141" s="38"/>
    </row>
    <row r="142" spans="1:11" x14ac:dyDescent="0.25">
      <c r="A142" s="38">
        <f>+IF(B142="","",SUBTOTAL(3,$B$5:B142))</f>
        <v>138</v>
      </c>
      <c r="B142" s="39" t="s">
        <v>508</v>
      </c>
      <c r="C142" s="40" t="s">
        <v>499</v>
      </c>
      <c r="D142" s="41">
        <v>45957</v>
      </c>
      <c r="E142" s="38">
        <v>159</v>
      </c>
      <c r="F142" s="41">
        <v>45964</v>
      </c>
      <c r="G142" s="41">
        <v>45978</v>
      </c>
      <c r="H142" s="38" t="s">
        <v>444</v>
      </c>
      <c r="I142" s="38" t="s">
        <v>536</v>
      </c>
      <c r="J142" s="42"/>
      <c r="K142" s="38" t="s">
        <v>362</v>
      </c>
    </row>
    <row r="143" spans="1:11" ht="30" x14ac:dyDescent="0.25">
      <c r="A143" s="38">
        <f>+IF(B143="","",SUBTOTAL(3,$B$5:B143))</f>
        <v>139</v>
      </c>
      <c r="B143" s="39" t="s">
        <v>461</v>
      </c>
      <c r="C143" s="40" t="s">
        <v>462</v>
      </c>
      <c r="D143" s="41">
        <v>45957</v>
      </c>
      <c r="E143" s="38">
        <v>159</v>
      </c>
      <c r="F143" s="41">
        <v>45957</v>
      </c>
      <c r="G143" s="41">
        <v>45971</v>
      </c>
      <c r="H143" s="38" t="s">
        <v>444</v>
      </c>
      <c r="I143" s="38" t="s">
        <v>536</v>
      </c>
      <c r="J143" s="42"/>
      <c r="K143" s="38" t="s">
        <v>336</v>
      </c>
    </row>
    <row r="144" spans="1:11" x14ac:dyDescent="0.25">
      <c r="A144" s="38">
        <f>+IF(B144="","",SUBTOTAL(3,$B$5:B144))</f>
        <v>140</v>
      </c>
      <c r="B144" s="39" t="s">
        <v>460</v>
      </c>
      <c r="C144" s="40" t="s">
        <v>439</v>
      </c>
      <c r="D144" s="41">
        <v>45957</v>
      </c>
      <c r="E144" s="38">
        <v>159</v>
      </c>
      <c r="F144" s="41">
        <v>45964</v>
      </c>
      <c r="G144" s="41">
        <v>45995</v>
      </c>
      <c r="H144" s="38" t="s">
        <v>444</v>
      </c>
      <c r="I144" s="38" t="s">
        <v>445</v>
      </c>
      <c r="J144" s="42"/>
      <c r="K144" s="38" t="s">
        <v>382</v>
      </c>
    </row>
    <row r="145" spans="1:11" ht="30" x14ac:dyDescent="0.25">
      <c r="A145" s="38">
        <f>+IF(B145="","",SUBTOTAL(3,$B$5:B145))</f>
        <v>141</v>
      </c>
      <c r="B145" s="39" t="s">
        <v>520</v>
      </c>
      <c r="C145" s="40" t="s">
        <v>521</v>
      </c>
      <c r="D145" s="41">
        <v>45961</v>
      </c>
      <c r="E145" s="38">
        <v>161</v>
      </c>
      <c r="F145" s="41">
        <v>45966</v>
      </c>
      <c r="G145" s="41">
        <v>45979</v>
      </c>
      <c r="H145" s="38" t="s">
        <v>444</v>
      </c>
      <c r="I145" s="38" t="s">
        <v>536</v>
      </c>
      <c r="J145" s="42"/>
      <c r="K145" s="38" t="s">
        <v>372</v>
      </c>
    </row>
    <row r="146" spans="1:11" ht="30" x14ac:dyDescent="0.25">
      <c r="A146" s="38">
        <f>+IF(B146="","",SUBTOTAL(3,$B$5:B146))</f>
        <v>142</v>
      </c>
      <c r="B146" s="39" t="s">
        <v>577</v>
      </c>
      <c r="C146" s="40" t="s">
        <v>477</v>
      </c>
      <c r="D146" s="41">
        <v>45961</v>
      </c>
      <c r="E146" s="38">
        <v>161</v>
      </c>
      <c r="F146" s="41">
        <v>45964</v>
      </c>
      <c r="G146" s="41">
        <v>45995</v>
      </c>
      <c r="H146" s="38" t="s">
        <v>444</v>
      </c>
      <c r="I146" s="38" t="s">
        <v>445</v>
      </c>
      <c r="J146" s="42"/>
      <c r="K146" s="38" t="s">
        <v>417</v>
      </c>
    </row>
    <row r="147" spans="1:11" x14ac:dyDescent="0.25">
      <c r="A147" s="38">
        <f>+IF(B147="","",SUBTOTAL(3,$B$5:B147))</f>
        <v>143</v>
      </c>
      <c r="B147" s="39" t="s">
        <v>493</v>
      </c>
      <c r="C147" s="40" t="s">
        <v>442</v>
      </c>
      <c r="D147" s="41">
        <v>45968</v>
      </c>
      <c r="E147" s="38">
        <v>164</v>
      </c>
      <c r="F147" s="41">
        <v>45968</v>
      </c>
      <c r="G147" s="41">
        <v>46002</v>
      </c>
      <c r="H147" s="38" t="s">
        <v>444</v>
      </c>
      <c r="I147" s="38" t="s">
        <v>445</v>
      </c>
      <c r="J147" s="42"/>
      <c r="K147" s="38" t="s">
        <v>418</v>
      </c>
    </row>
    <row r="148" spans="1:11" ht="30" x14ac:dyDescent="0.25">
      <c r="A148" s="38">
        <f>+IF(B148="","",SUBTOTAL(3,$B$5:B148))</f>
        <v>144</v>
      </c>
      <c r="B148" s="39" t="s">
        <v>578</v>
      </c>
      <c r="C148" s="40" t="s">
        <v>499</v>
      </c>
      <c r="D148" s="41">
        <v>45974</v>
      </c>
      <c r="E148" s="38">
        <v>166</v>
      </c>
      <c r="F148" s="41">
        <v>45978</v>
      </c>
      <c r="G148" s="41">
        <v>46000</v>
      </c>
      <c r="H148" s="38" t="s">
        <v>444</v>
      </c>
      <c r="I148" s="38" t="s">
        <v>445</v>
      </c>
      <c r="J148" s="42" t="s">
        <v>455</v>
      </c>
      <c r="K148" s="38" t="s">
        <v>419</v>
      </c>
    </row>
    <row r="149" spans="1:11" x14ac:dyDescent="0.25">
      <c r="A149" s="38">
        <f>+IF(B149="","",SUBTOTAL(3,$B$5:B149))</f>
        <v>145</v>
      </c>
      <c r="B149" s="39" t="s">
        <v>579</v>
      </c>
      <c r="C149" s="40" t="s">
        <v>439</v>
      </c>
      <c r="D149" s="41">
        <v>45974</v>
      </c>
      <c r="E149" s="38">
        <v>166</v>
      </c>
      <c r="F149" s="41">
        <v>45978</v>
      </c>
      <c r="G149" s="41">
        <v>46013</v>
      </c>
      <c r="H149" s="38" t="s">
        <v>444</v>
      </c>
      <c r="I149" s="38" t="s">
        <v>445</v>
      </c>
      <c r="J149" s="42"/>
      <c r="K149" s="38" t="s">
        <v>420</v>
      </c>
    </row>
    <row r="150" spans="1:11" x14ac:dyDescent="0.25">
      <c r="A150" s="38">
        <f>+IF(B150="","",SUBTOTAL(3,$B$5:B150))</f>
        <v>146</v>
      </c>
      <c r="B150" s="39" t="s">
        <v>580</v>
      </c>
      <c r="C150" s="40" t="s">
        <v>439</v>
      </c>
      <c r="D150" s="41">
        <v>45974</v>
      </c>
      <c r="E150" s="38">
        <v>166</v>
      </c>
      <c r="F150" s="41">
        <v>45978</v>
      </c>
      <c r="G150" s="41">
        <v>46016</v>
      </c>
      <c r="H150" s="38" t="s">
        <v>444</v>
      </c>
      <c r="I150" s="38" t="s">
        <v>445</v>
      </c>
      <c r="J150" s="42"/>
      <c r="K150" s="38" t="s">
        <v>421</v>
      </c>
    </row>
    <row r="151" spans="1:11" x14ac:dyDescent="0.25">
      <c r="A151" s="38">
        <f>+IF(B151="","",SUBTOTAL(3,$B$5:B151))</f>
        <v>147</v>
      </c>
      <c r="B151" s="39" t="s">
        <v>581</v>
      </c>
      <c r="C151" s="40" t="s">
        <v>439</v>
      </c>
      <c r="D151" s="41">
        <v>45975</v>
      </c>
      <c r="E151" s="38">
        <v>167</v>
      </c>
      <c r="F151" s="41">
        <v>45978</v>
      </c>
      <c r="G151" s="41">
        <v>46014</v>
      </c>
      <c r="H151" s="38" t="s">
        <v>444</v>
      </c>
      <c r="I151" s="38" t="s">
        <v>445</v>
      </c>
      <c r="J151" s="42"/>
      <c r="K151" s="38" t="s">
        <v>422</v>
      </c>
    </row>
    <row r="152" spans="1:11" ht="30" x14ac:dyDescent="0.25">
      <c r="A152" s="38">
        <f>+IF(B152="","",SUBTOTAL(3,$B$5:B152))</f>
        <v>148</v>
      </c>
      <c r="B152" s="39" t="s">
        <v>458</v>
      </c>
      <c r="C152" s="40" t="s">
        <v>439</v>
      </c>
      <c r="D152" s="41">
        <v>45975</v>
      </c>
      <c r="E152" s="38">
        <v>167</v>
      </c>
      <c r="F152" s="41">
        <v>45978</v>
      </c>
      <c r="G152" s="41">
        <v>46014</v>
      </c>
      <c r="H152" s="38" t="s">
        <v>444</v>
      </c>
      <c r="I152" s="38" t="s">
        <v>445</v>
      </c>
      <c r="J152" s="42"/>
      <c r="K152" s="38" t="s">
        <v>423</v>
      </c>
    </row>
    <row r="153" spans="1:11" x14ac:dyDescent="0.25">
      <c r="A153" s="38">
        <f>+IF(B153="","",SUBTOTAL(3,$B$5:B153))</f>
        <v>149</v>
      </c>
      <c r="B153" s="39" t="s">
        <v>481</v>
      </c>
      <c r="C153" s="40" t="s">
        <v>442</v>
      </c>
      <c r="D153" s="41">
        <v>45975</v>
      </c>
      <c r="E153" s="38">
        <v>167</v>
      </c>
      <c r="F153" s="41">
        <v>45978</v>
      </c>
      <c r="G153" s="41">
        <v>45992</v>
      </c>
      <c r="H153" s="38" t="s">
        <v>444</v>
      </c>
      <c r="I153" s="38" t="s">
        <v>536</v>
      </c>
      <c r="J153" s="42"/>
      <c r="K153" s="38" t="s">
        <v>347</v>
      </c>
    </row>
    <row r="154" spans="1:11" ht="30" x14ac:dyDescent="0.25">
      <c r="A154" s="38">
        <f>+IF(B154="","",SUBTOTAL(3,$B$5:B154))</f>
        <v>150</v>
      </c>
      <c r="B154" s="39" t="s">
        <v>582</v>
      </c>
      <c r="C154" s="40" t="s">
        <v>439</v>
      </c>
      <c r="D154" s="41">
        <v>45980</v>
      </c>
      <c r="E154" s="38">
        <v>168</v>
      </c>
      <c r="F154" s="41">
        <v>45986</v>
      </c>
      <c r="G154" s="41">
        <v>46008</v>
      </c>
      <c r="H154" s="38" t="s">
        <v>444</v>
      </c>
      <c r="I154" s="38" t="s">
        <v>445</v>
      </c>
      <c r="J154" s="42" t="s">
        <v>455</v>
      </c>
      <c r="K154" s="38" t="s">
        <v>424</v>
      </c>
    </row>
    <row r="155" spans="1:11" ht="30" x14ac:dyDescent="0.25">
      <c r="A155" s="38">
        <f>+IF(B155="","",SUBTOTAL(3,$B$5:B155))</f>
        <v>151</v>
      </c>
      <c r="B155" s="39" t="s">
        <v>583</v>
      </c>
      <c r="C155" s="40" t="s">
        <v>442</v>
      </c>
      <c r="D155" s="41">
        <v>45982</v>
      </c>
      <c r="E155" s="38">
        <v>171</v>
      </c>
      <c r="F155" s="41">
        <v>45989</v>
      </c>
      <c r="G155" s="41">
        <v>46013</v>
      </c>
      <c r="H155" s="38" t="s">
        <v>444</v>
      </c>
      <c r="I155" s="38" t="s">
        <v>445</v>
      </c>
      <c r="J155" s="42"/>
      <c r="K155" s="38" t="s">
        <v>425</v>
      </c>
    </row>
    <row r="156" spans="1:11" ht="30" x14ac:dyDescent="0.25">
      <c r="A156" s="38">
        <f>+IF(B156="","",SUBTOTAL(3,$B$5:B156))</f>
        <v>152</v>
      </c>
      <c r="B156" s="39" t="s">
        <v>441</v>
      </c>
      <c r="C156" s="40" t="s">
        <v>442</v>
      </c>
      <c r="D156" s="41">
        <v>45985</v>
      </c>
      <c r="E156" s="38">
        <v>172</v>
      </c>
      <c r="F156" s="41">
        <v>45994</v>
      </c>
      <c r="G156" s="41">
        <v>46016</v>
      </c>
      <c r="H156" s="38" t="s">
        <v>444</v>
      </c>
      <c r="I156" s="38" t="s">
        <v>445</v>
      </c>
      <c r="J156" s="42" t="s">
        <v>455</v>
      </c>
      <c r="K156" s="38" t="s">
        <v>373</v>
      </c>
    </row>
    <row r="157" spans="1:11" ht="45" x14ac:dyDescent="0.25">
      <c r="A157" s="38">
        <f>+IF(B157="","",SUBTOTAL(3,$B$5:B157))</f>
        <v>153</v>
      </c>
      <c r="B157" s="39" t="s">
        <v>553</v>
      </c>
      <c r="C157" s="40" t="s">
        <v>484</v>
      </c>
      <c r="D157" s="41">
        <v>45989</v>
      </c>
      <c r="E157" s="38">
        <v>174</v>
      </c>
      <c r="F157" s="41">
        <v>46000</v>
      </c>
      <c r="G157" s="41">
        <v>46013</v>
      </c>
      <c r="H157" s="38" t="s">
        <v>444</v>
      </c>
      <c r="I157" s="38" t="s">
        <v>536</v>
      </c>
      <c r="J157" s="42"/>
      <c r="K157" s="38" t="s">
        <v>400</v>
      </c>
    </row>
    <row r="158" spans="1:11" ht="30" x14ac:dyDescent="0.25">
      <c r="A158" s="38">
        <f>+IF(B158="","",SUBTOTAL(3,$B$5:B158))</f>
        <v>154</v>
      </c>
      <c r="B158" s="39" t="s">
        <v>540</v>
      </c>
      <c r="C158" s="40" t="s">
        <v>472</v>
      </c>
      <c r="D158" s="41">
        <v>45993</v>
      </c>
      <c r="E158" s="38">
        <v>176</v>
      </c>
      <c r="F158" s="41">
        <v>46000</v>
      </c>
      <c r="G158" s="41">
        <v>46017</v>
      </c>
      <c r="H158" s="38" t="s">
        <v>444</v>
      </c>
      <c r="I158" s="38" t="s">
        <v>536</v>
      </c>
      <c r="J158" s="42"/>
      <c r="K158" s="38" t="s">
        <v>390</v>
      </c>
    </row>
    <row r="159" spans="1:11" ht="60" x14ac:dyDescent="0.25">
      <c r="A159" s="38">
        <f>+IF(B159="","",SUBTOTAL(3,$B$5:B159))</f>
        <v>155</v>
      </c>
      <c r="B159" s="39" t="s">
        <v>563</v>
      </c>
      <c r="C159" s="40" t="s">
        <v>543</v>
      </c>
      <c r="D159" s="41">
        <v>46008</v>
      </c>
      <c r="E159" s="38">
        <v>182</v>
      </c>
      <c r="F159" s="41">
        <v>46010</v>
      </c>
      <c r="G159" s="41">
        <v>46024</v>
      </c>
      <c r="H159" s="38" t="s">
        <v>444</v>
      </c>
      <c r="I159" s="38" t="s">
        <v>536</v>
      </c>
      <c r="J159" s="42"/>
      <c r="K159" s="38" t="s">
        <v>407</v>
      </c>
    </row>
    <row r="160" spans="1:11" ht="30" x14ac:dyDescent="0.25">
      <c r="A160" s="38">
        <f>+IF(B160="","",SUBTOTAL(3,$B$5:B160))</f>
        <v>156</v>
      </c>
      <c r="B160" s="39" t="s">
        <v>584</v>
      </c>
      <c r="C160" s="40" t="s">
        <v>462</v>
      </c>
      <c r="D160" s="41">
        <v>46016</v>
      </c>
      <c r="E160" s="38">
        <v>186</v>
      </c>
      <c r="F160" s="41">
        <v>46021</v>
      </c>
      <c r="G160" s="41">
        <v>46051</v>
      </c>
      <c r="H160" s="38" t="s">
        <v>444</v>
      </c>
      <c r="I160" s="38" t="s">
        <v>445</v>
      </c>
      <c r="J160" s="42"/>
      <c r="K160" s="38" t="s">
        <v>426</v>
      </c>
    </row>
    <row r="161" spans="1:11" ht="30" x14ac:dyDescent="0.25">
      <c r="A161" s="38">
        <f>+IF(B161="","",SUBTOTAL(3,$B$5:B161))</f>
        <v>157</v>
      </c>
      <c r="B161" s="39" t="s">
        <v>585</v>
      </c>
      <c r="C161" s="40" t="s">
        <v>439</v>
      </c>
      <c r="D161" s="41">
        <v>46016</v>
      </c>
      <c r="E161" s="38">
        <v>186</v>
      </c>
      <c r="F161" s="41">
        <v>46020</v>
      </c>
      <c r="G161" s="41">
        <v>46042</v>
      </c>
      <c r="H161" s="38" t="s">
        <v>444</v>
      </c>
      <c r="I161" s="38" t="s">
        <v>445</v>
      </c>
      <c r="J161" s="42" t="s">
        <v>455</v>
      </c>
      <c r="K161" s="38" t="s">
        <v>427</v>
      </c>
    </row>
    <row r="162" spans="1:11" ht="30" x14ac:dyDescent="0.25">
      <c r="A162" s="38">
        <f>+IF(B162="","",SUBTOTAL(3,$B$5:B162))</f>
        <v>158</v>
      </c>
      <c r="B162" s="39" t="s">
        <v>586</v>
      </c>
      <c r="C162" s="40" t="s">
        <v>587</v>
      </c>
      <c r="D162" s="41">
        <v>46020</v>
      </c>
      <c r="E162" s="38">
        <v>191</v>
      </c>
      <c r="F162" s="41">
        <v>46020</v>
      </c>
      <c r="G162" s="41">
        <v>46042</v>
      </c>
      <c r="H162" s="38" t="s">
        <v>444</v>
      </c>
      <c r="I162" s="38" t="s">
        <v>445</v>
      </c>
      <c r="J162" s="42" t="s">
        <v>455</v>
      </c>
      <c r="K162" s="38" t="s">
        <v>428</v>
      </c>
    </row>
    <row r="163" spans="1:11" x14ac:dyDescent="0.25">
      <c r="J163" s="33"/>
    </row>
    <row r="164" spans="1:11" x14ac:dyDescent="0.25">
      <c r="J164" s="33"/>
    </row>
  </sheetData>
  <autoFilter ref="A4:K162"/>
  <mergeCells count="10">
    <mergeCell ref="A1:K1"/>
    <mergeCell ref="A2:A3"/>
    <mergeCell ref="B2:B3"/>
    <mergeCell ref="C2:C3"/>
    <mergeCell ref="D2:E2"/>
    <mergeCell ref="H2:H3"/>
    <mergeCell ref="I2:J3"/>
    <mergeCell ref="K2:K3"/>
    <mergeCell ref="F2:F3"/>
    <mergeCell ref="G2:G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xSplit="1" ySplit="3" topLeftCell="B4" activePane="bottomRight" state="frozen"/>
      <selection activeCell="A5" sqref="A5"/>
      <selection pane="topRight" activeCell="A5" sqref="A5"/>
      <selection pane="bottomLeft" activeCell="A5" sqref="A5"/>
      <selection pane="bottomRight" activeCell="A5" sqref="A5"/>
    </sheetView>
  </sheetViews>
  <sheetFormatPr defaultRowHeight="15" x14ac:dyDescent="0.25"/>
  <cols>
    <col min="2" max="2" width="32.42578125" style="43" customWidth="1"/>
    <col min="3" max="3" width="20.28515625" style="44" customWidth="1"/>
    <col min="4" max="4" width="11.85546875" style="45" customWidth="1"/>
    <col min="6" max="6" width="12.5703125" customWidth="1"/>
  </cols>
  <sheetData>
    <row r="1" spans="1:6" ht="52.5" customHeight="1" x14ac:dyDescent="0.25">
      <c r="A1" s="60" t="s">
        <v>588</v>
      </c>
      <c r="B1" s="60"/>
      <c r="C1" s="60"/>
      <c r="D1" s="60"/>
      <c r="E1" s="60"/>
      <c r="F1" s="60"/>
    </row>
    <row r="2" spans="1:6" s="1" customFormat="1" ht="33.75" customHeight="1" x14ac:dyDescent="0.25">
      <c r="A2" s="61" t="s">
        <v>69</v>
      </c>
      <c r="B2" s="61" t="s">
        <v>430</v>
      </c>
      <c r="C2" s="61" t="s">
        <v>431</v>
      </c>
      <c r="D2" s="61" t="s">
        <v>432</v>
      </c>
      <c r="E2" s="61"/>
      <c r="F2" s="61" t="s">
        <v>589</v>
      </c>
    </row>
    <row r="3" spans="1:6" ht="15.75" x14ac:dyDescent="0.25">
      <c r="A3" s="61"/>
      <c r="B3" s="61"/>
      <c r="C3" s="61"/>
      <c r="D3" s="34" t="s">
        <v>436</v>
      </c>
      <c r="E3" s="34" t="s">
        <v>437</v>
      </c>
      <c r="F3" s="61"/>
    </row>
    <row r="4" spans="1:6" ht="30" x14ac:dyDescent="0.25">
      <c r="A4" s="38">
        <v>1</v>
      </c>
      <c r="B4" s="39" t="s">
        <v>535</v>
      </c>
      <c r="C4" s="40" t="s">
        <v>439</v>
      </c>
      <c r="D4" s="41">
        <v>45726</v>
      </c>
      <c r="E4" s="38">
        <v>37</v>
      </c>
      <c r="F4" s="38">
        <v>50</v>
      </c>
    </row>
    <row r="5" spans="1:6" ht="30" x14ac:dyDescent="0.25">
      <c r="A5" s="38">
        <f>+A4+1</f>
        <v>2</v>
      </c>
      <c r="B5" s="39" t="s">
        <v>514</v>
      </c>
      <c r="C5" s="40" t="s">
        <v>439</v>
      </c>
      <c r="D5" s="41">
        <v>45933</v>
      </c>
      <c r="E5" s="38">
        <v>143</v>
      </c>
      <c r="F5" s="38">
        <v>50</v>
      </c>
    </row>
    <row r="6" spans="1:6" ht="30" x14ac:dyDescent="0.25">
      <c r="A6" s="38">
        <f t="shared" ref="A6:A7" si="0">+A5+1</f>
        <v>3</v>
      </c>
      <c r="B6" s="39" t="s">
        <v>582</v>
      </c>
      <c r="C6" s="40" t="s">
        <v>439</v>
      </c>
      <c r="D6" s="41">
        <v>45933</v>
      </c>
      <c r="E6" s="38">
        <v>143</v>
      </c>
      <c r="F6" s="38">
        <v>50</v>
      </c>
    </row>
    <row r="7" spans="1:6" ht="30" x14ac:dyDescent="0.25">
      <c r="A7" s="38">
        <f t="shared" si="0"/>
        <v>4</v>
      </c>
      <c r="B7" s="40" t="s">
        <v>590</v>
      </c>
      <c r="C7" s="40" t="s">
        <v>439</v>
      </c>
      <c r="D7" s="41">
        <v>45961</v>
      </c>
      <c r="E7" s="38">
        <v>162</v>
      </c>
      <c r="F7" s="38">
        <v>50</v>
      </c>
    </row>
  </sheetData>
  <mergeCells count="6">
    <mergeCell ref="A1:F1"/>
    <mergeCell ref="A2:A3"/>
    <mergeCell ref="B2:B3"/>
    <mergeCell ref="C2:C3"/>
    <mergeCell ref="D2:E2"/>
    <mergeCell ref="F2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"/>
  <sheetViews>
    <sheetView workbookViewId="0">
      <pane xSplit="1" ySplit="2" topLeftCell="B3" activePane="bottomRight" state="frozen"/>
      <selection activeCell="A5" sqref="A5"/>
      <selection pane="topRight" activeCell="A5" sqref="A5"/>
      <selection pane="bottomLeft" activeCell="A5" sqref="A5"/>
      <selection pane="bottomRight" activeCell="D4" sqref="D4"/>
    </sheetView>
  </sheetViews>
  <sheetFormatPr defaultRowHeight="15" x14ac:dyDescent="0.25"/>
  <cols>
    <col min="1" max="1" width="7.42578125" customWidth="1"/>
    <col min="2" max="2" width="36.85546875" style="43" customWidth="1"/>
    <col min="3" max="3" width="29.28515625" style="44" customWidth="1"/>
    <col min="4" max="4" width="19.85546875" style="44" customWidth="1"/>
    <col min="5" max="5" width="23.42578125" customWidth="1"/>
  </cols>
  <sheetData>
    <row r="1" spans="1:6" ht="57" customHeight="1" x14ac:dyDescent="0.25">
      <c r="A1" s="60" t="s">
        <v>679</v>
      </c>
      <c r="B1" s="60"/>
      <c r="C1" s="60"/>
      <c r="D1" s="60"/>
      <c r="E1" s="60"/>
      <c r="F1" s="46"/>
    </row>
    <row r="2" spans="1:6" s="1" customFormat="1" ht="49.5" customHeight="1" x14ac:dyDescent="0.25">
      <c r="A2" s="35" t="s">
        <v>69</v>
      </c>
      <c r="B2" s="35" t="s">
        <v>430</v>
      </c>
      <c r="C2" s="35" t="s">
        <v>431</v>
      </c>
      <c r="D2" s="35" t="s">
        <v>680</v>
      </c>
      <c r="E2" s="35" t="s">
        <v>681</v>
      </c>
    </row>
    <row r="3" spans="1:6" ht="15.75" x14ac:dyDescent="0.25">
      <c r="A3" s="35"/>
      <c r="B3" s="35"/>
      <c r="C3" s="35"/>
      <c r="D3" s="35"/>
      <c r="E3" s="35"/>
    </row>
    <row r="4" spans="1:6" ht="30" x14ac:dyDescent="0.25">
      <c r="A4" s="38">
        <f>+IF(B4="","",SUBTOTAL(3,$B$4:B4))</f>
        <v>1</v>
      </c>
      <c r="B4" s="39" t="s">
        <v>465</v>
      </c>
      <c r="C4" s="40" t="s">
        <v>439</v>
      </c>
      <c r="D4" s="42" t="s">
        <v>70</v>
      </c>
      <c r="E4" s="42" t="s">
        <v>591</v>
      </c>
      <c r="F4">
        <f>+IF(COUNTIFS($B$3:B4,B4)&gt;1,"такрор",1)</f>
        <v>1</v>
      </c>
    </row>
    <row r="5" spans="1:6" x14ac:dyDescent="0.25">
      <c r="A5" s="38">
        <f>+IF(B5="","",SUBTOTAL(3,$B$4:B5))</f>
        <v>2</v>
      </c>
      <c r="B5" s="39" t="s">
        <v>469</v>
      </c>
      <c r="C5" s="40" t="s">
        <v>442</v>
      </c>
      <c r="D5" s="42" t="s">
        <v>70</v>
      </c>
      <c r="E5" s="42" t="s">
        <v>592</v>
      </c>
      <c r="F5">
        <f>+IF(COUNTIFS($B$3:B5,B5)&gt;1,"такрор",1)</f>
        <v>1</v>
      </c>
    </row>
    <row r="6" spans="1:6" ht="30" x14ac:dyDescent="0.25">
      <c r="A6" s="38">
        <f>+IF(B6="","",SUBTOTAL(3,$B$4:B6))</f>
        <v>3</v>
      </c>
      <c r="B6" s="39" t="s">
        <v>494</v>
      </c>
      <c r="C6" s="40" t="s">
        <v>495</v>
      </c>
      <c r="D6" s="42" t="s">
        <v>70</v>
      </c>
      <c r="E6" s="42" t="s">
        <v>593</v>
      </c>
      <c r="F6">
        <f>+IF(COUNTIFS($B$3:B6,B6)&gt;1,"такрор",1)</f>
        <v>1</v>
      </c>
    </row>
    <row r="7" spans="1:6" x14ac:dyDescent="0.25">
      <c r="A7" s="38">
        <f>+IF(B7="","",SUBTOTAL(3,$B$4:B7))</f>
        <v>4</v>
      </c>
      <c r="B7" s="40" t="s">
        <v>496</v>
      </c>
      <c r="C7" s="40" t="s">
        <v>439</v>
      </c>
      <c r="D7" s="42" t="s">
        <v>70</v>
      </c>
      <c r="E7" s="42" t="s">
        <v>594</v>
      </c>
      <c r="F7">
        <f>+IF(COUNTIFS($B$3:B7,B7)&gt;1,"такрор",1)</f>
        <v>1</v>
      </c>
    </row>
    <row r="8" spans="1:6" ht="30" x14ac:dyDescent="0.25">
      <c r="A8" s="38">
        <f>+IF(B8="","",SUBTOTAL(3,$B$4:B8))</f>
        <v>5</v>
      </c>
      <c r="B8" s="40" t="s">
        <v>682</v>
      </c>
      <c r="C8" s="40" t="s">
        <v>683</v>
      </c>
      <c r="D8" s="42" t="s">
        <v>70</v>
      </c>
      <c r="E8" s="42" t="s">
        <v>595</v>
      </c>
      <c r="F8">
        <f>+IF(COUNTIFS($B$3:B8,B8)&gt;1,"такрор",1)</f>
        <v>1</v>
      </c>
    </row>
    <row r="9" spans="1:6" x14ac:dyDescent="0.25">
      <c r="A9" s="38">
        <f>+IF(B9="","",SUBTOTAL(3,$B$4:B9))</f>
        <v>6</v>
      </c>
      <c r="B9" s="39" t="s">
        <v>504</v>
      </c>
      <c r="C9" s="40" t="s">
        <v>439</v>
      </c>
      <c r="D9" s="42" t="s">
        <v>70</v>
      </c>
      <c r="E9" s="42" t="s">
        <v>596</v>
      </c>
      <c r="F9">
        <f>+IF(COUNTIFS($B$3:B9,B9)&gt;1,"такрор",1)</f>
        <v>1</v>
      </c>
    </row>
    <row r="10" spans="1:6" x14ac:dyDescent="0.25">
      <c r="A10" s="38">
        <f>+IF(B10="","",SUBTOTAL(3,$B$4:B10))</f>
        <v>7</v>
      </c>
      <c r="B10" s="39" t="s">
        <v>684</v>
      </c>
      <c r="C10" s="40" t="s">
        <v>442</v>
      </c>
      <c r="D10" s="42" t="s">
        <v>70</v>
      </c>
      <c r="E10" s="42" t="s">
        <v>597</v>
      </c>
      <c r="F10">
        <f>+IF(COUNTIFS($B$3:B10,B10)&gt;1,"такрор",1)</f>
        <v>1</v>
      </c>
    </row>
    <row r="11" spans="1:6" x14ac:dyDescent="0.25">
      <c r="A11" s="38">
        <f>+IF(B11="","",SUBTOTAL(3,$B$4:B11))</f>
        <v>8</v>
      </c>
      <c r="B11" s="39" t="s">
        <v>525</v>
      </c>
      <c r="C11" s="40" t="s">
        <v>439</v>
      </c>
      <c r="D11" s="42" t="s">
        <v>70</v>
      </c>
      <c r="E11" s="42" t="s">
        <v>598</v>
      </c>
      <c r="F11">
        <f>+IF(COUNTIFS($B$3:B11,B11)&gt;1,"такрор",1)</f>
        <v>1</v>
      </c>
    </row>
    <row r="12" spans="1:6" x14ac:dyDescent="0.25">
      <c r="A12" s="38">
        <f>+IF(B12="","",SUBTOTAL(3,$B$4:B12))</f>
        <v>9</v>
      </c>
      <c r="B12" s="39" t="s">
        <v>558</v>
      </c>
      <c r="C12" s="40" t="s">
        <v>439</v>
      </c>
      <c r="D12" s="42" t="s">
        <v>71</v>
      </c>
      <c r="E12" s="42" t="s">
        <v>599</v>
      </c>
      <c r="F12">
        <f>+IF(COUNTIFS($B$3:B12,B12)&gt;1,"такрор",1)</f>
        <v>1</v>
      </c>
    </row>
    <row r="13" spans="1:6" x14ac:dyDescent="0.25">
      <c r="A13" s="38">
        <f>+IF(B13="","",SUBTOTAL(3,$B$4:B13))</f>
        <v>10</v>
      </c>
      <c r="B13" s="39" t="s">
        <v>516</v>
      </c>
      <c r="C13" s="40" t="s">
        <v>451</v>
      </c>
      <c r="D13" s="42" t="s">
        <v>71</v>
      </c>
      <c r="E13" s="42" t="s">
        <v>600</v>
      </c>
      <c r="F13">
        <f>+IF(COUNTIFS($B$3:B13,B13)&gt;1,"такрор",1)</f>
        <v>1</v>
      </c>
    </row>
    <row r="14" spans="1:6" ht="45" x14ac:dyDescent="0.25">
      <c r="A14" s="38">
        <f>+IF(B14="","",SUBTOTAL(3,$B$4:B14))</f>
        <v>11</v>
      </c>
      <c r="B14" s="39" t="s">
        <v>461</v>
      </c>
      <c r="C14" s="40" t="s">
        <v>462</v>
      </c>
      <c r="D14" s="42" t="s">
        <v>71</v>
      </c>
      <c r="E14" s="42" t="s">
        <v>601</v>
      </c>
      <c r="F14">
        <f>+IF(COUNTIFS($B$3:B14,B14)&gt;1,"такрор",1)</f>
        <v>1</v>
      </c>
    </row>
    <row r="15" spans="1:6" x14ac:dyDescent="0.25">
      <c r="A15" s="38">
        <f>+IF(B15="","",SUBTOTAL(3,$B$4:B15))</f>
        <v>12</v>
      </c>
      <c r="B15" s="39" t="s">
        <v>468</v>
      </c>
      <c r="C15" s="40" t="s">
        <v>439</v>
      </c>
      <c r="D15" s="42" t="s">
        <v>71</v>
      </c>
      <c r="E15" s="42" t="s">
        <v>602</v>
      </c>
      <c r="F15">
        <f>+IF(COUNTIFS($B$3:B15,B15)&gt;1,"такрор",1)</f>
        <v>1</v>
      </c>
    </row>
    <row r="16" spans="1:6" x14ac:dyDescent="0.25">
      <c r="A16" s="38">
        <f>+IF(B16="","",SUBTOTAL(3,$B$4:B16))</f>
        <v>13</v>
      </c>
      <c r="B16" s="39" t="s">
        <v>551</v>
      </c>
      <c r="C16" s="40" t="s">
        <v>439</v>
      </c>
      <c r="D16" s="42" t="s">
        <v>71</v>
      </c>
      <c r="E16" s="42" t="s">
        <v>603</v>
      </c>
      <c r="F16">
        <f>+IF(COUNTIFS($B$3:B16,B16)&gt;1,"такрор",1)</f>
        <v>1</v>
      </c>
    </row>
    <row r="17" spans="1:6" x14ac:dyDescent="0.25">
      <c r="A17" s="38">
        <f>+IF(B17="","",SUBTOTAL(3,$B$4:B17))</f>
        <v>14</v>
      </c>
      <c r="B17" s="39" t="s">
        <v>558</v>
      </c>
      <c r="C17" s="40" t="s">
        <v>439</v>
      </c>
      <c r="D17" s="42" t="s">
        <v>71</v>
      </c>
      <c r="E17" s="42" t="s">
        <v>604</v>
      </c>
      <c r="F17" t="str">
        <f>+IF(COUNTIFS($B$3:B17,B17)&gt;1,"такрор",1)</f>
        <v>такрор</v>
      </c>
    </row>
    <row r="18" spans="1:6" x14ac:dyDescent="0.25">
      <c r="A18" s="38">
        <f>+IF(B18="","",SUBTOTAL(3,$B$4:B18))</f>
        <v>15</v>
      </c>
      <c r="B18" s="39" t="s">
        <v>496</v>
      </c>
      <c r="C18" s="40" t="s">
        <v>439</v>
      </c>
      <c r="D18" s="42" t="s">
        <v>71</v>
      </c>
      <c r="E18" s="42" t="s">
        <v>604</v>
      </c>
      <c r="F18" t="str">
        <f>+IF(COUNTIFS($B$3:B18,B18)&gt;1,"такрор",1)</f>
        <v>такрор</v>
      </c>
    </row>
    <row r="19" spans="1:6" x14ac:dyDescent="0.25">
      <c r="A19" s="38">
        <f>+IF(B19="","",SUBTOTAL(3,$B$4:B19))</f>
        <v>16</v>
      </c>
      <c r="B19" s="39" t="s">
        <v>549</v>
      </c>
      <c r="C19" s="40" t="s">
        <v>439</v>
      </c>
      <c r="D19" s="42" t="s">
        <v>71</v>
      </c>
      <c r="E19" s="42" t="s">
        <v>605</v>
      </c>
      <c r="F19">
        <f>+IF(COUNTIFS($B$3:B19,B19)&gt;1,"такрор",1)</f>
        <v>1</v>
      </c>
    </row>
    <row r="20" spans="1:6" x14ac:dyDescent="0.25">
      <c r="A20" s="38">
        <f>+IF(B20="","",SUBTOTAL(3,$B$4:B20))</f>
        <v>17</v>
      </c>
      <c r="B20" s="39" t="s">
        <v>535</v>
      </c>
      <c r="C20" s="40" t="s">
        <v>439</v>
      </c>
      <c r="D20" s="42" t="s">
        <v>71</v>
      </c>
      <c r="E20" s="42" t="s">
        <v>605</v>
      </c>
      <c r="F20">
        <f>+IF(COUNTIFS($B$3:B20,B20)&gt;1,"такрор",1)</f>
        <v>1</v>
      </c>
    </row>
    <row r="21" spans="1:6" ht="60" x14ac:dyDescent="0.25">
      <c r="A21" s="38">
        <f>+IF(B21="","",SUBTOTAL(3,$B$4:B21))</f>
        <v>18</v>
      </c>
      <c r="B21" s="39" t="s">
        <v>527</v>
      </c>
      <c r="C21" s="40" t="s">
        <v>528</v>
      </c>
      <c r="D21" s="42" t="s">
        <v>72</v>
      </c>
      <c r="E21" s="42" t="s">
        <v>606</v>
      </c>
      <c r="F21">
        <f>+IF(COUNTIFS($B$3:B21,B21)&gt;1,"такрор",1)</f>
        <v>1</v>
      </c>
    </row>
    <row r="22" spans="1:6" ht="60" x14ac:dyDescent="0.25">
      <c r="A22" s="38">
        <f>+IF(B22="","",SUBTOTAL(3,$B$4:B22))</f>
        <v>19</v>
      </c>
      <c r="B22" s="39" t="s">
        <v>487</v>
      </c>
      <c r="C22" s="40" t="s">
        <v>447</v>
      </c>
      <c r="D22" s="42" t="s">
        <v>72</v>
      </c>
      <c r="E22" s="42" t="s">
        <v>607</v>
      </c>
      <c r="F22">
        <f>+IF(COUNTIFS($B$3:B22,B22)&gt;1,"такрор",1)</f>
        <v>1</v>
      </c>
    </row>
    <row r="23" spans="1:6" x14ac:dyDescent="0.25">
      <c r="A23" s="38">
        <f>+IF(B23="","",SUBTOTAL(3,$B$4:B23))</f>
        <v>20</v>
      </c>
      <c r="B23" s="39" t="s">
        <v>511</v>
      </c>
      <c r="C23" s="40" t="s">
        <v>442</v>
      </c>
      <c r="D23" s="42" t="s">
        <v>72</v>
      </c>
      <c r="E23" s="42" t="s">
        <v>608</v>
      </c>
      <c r="F23">
        <f>+IF(COUNTIFS($B$3:B23,B23)&gt;1,"такрор",1)</f>
        <v>1</v>
      </c>
    </row>
    <row r="24" spans="1:6" x14ac:dyDescent="0.25">
      <c r="A24" s="38">
        <f>+IF(B24="","",SUBTOTAL(3,$B$4:B24))</f>
        <v>21</v>
      </c>
      <c r="B24" s="39" t="s">
        <v>470</v>
      </c>
      <c r="C24" s="40" t="s">
        <v>439</v>
      </c>
      <c r="D24" s="42" t="s">
        <v>72</v>
      </c>
      <c r="E24" s="42" t="s">
        <v>609</v>
      </c>
      <c r="F24">
        <f>+IF(COUNTIFS($B$3:B24,B24)&gt;1,"такрор",1)</f>
        <v>1</v>
      </c>
    </row>
    <row r="25" spans="1:6" x14ac:dyDescent="0.25">
      <c r="A25" s="38">
        <f>+IF(B25="","",SUBTOTAL(3,$B$4:B25))</f>
        <v>22</v>
      </c>
      <c r="B25" s="39" t="s">
        <v>525</v>
      </c>
      <c r="C25" s="40" t="s">
        <v>439</v>
      </c>
      <c r="D25" s="42" t="s">
        <v>72</v>
      </c>
      <c r="E25" s="42" t="s">
        <v>610</v>
      </c>
      <c r="F25" t="str">
        <f>+IF(COUNTIFS($B$3:B25,B25)&gt;1,"такрор",1)</f>
        <v>такрор</v>
      </c>
    </row>
    <row r="26" spans="1:6" x14ac:dyDescent="0.25">
      <c r="A26" s="38">
        <f>+IF(B26="","",SUBTOTAL(3,$B$4:B26))</f>
        <v>23</v>
      </c>
      <c r="B26" s="39" t="s">
        <v>481</v>
      </c>
      <c r="C26" s="40" t="s">
        <v>442</v>
      </c>
      <c r="D26" s="42" t="s">
        <v>72</v>
      </c>
      <c r="E26" s="42" t="s">
        <v>611</v>
      </c>
      <c r="F26">
        <f>+IF(COUNTIFS($B$3:B26,B26)&gt;1,"такрор",1)</f>
        <v>1</v>
      </c>
    </row>
    <row r="27" spans="1:6" x14ac:dyDescent="0.25">
      <c r="A27" s="38">
        <f>+IF(B27="","",SUBTOTAL(3,$B$4:B27))</f>
        <v>24</v>
      </c>
      <c r="B27" s="39" t="s">
        <v>684</v>
      </c>
      <c r="C27" s="40" t="s">
        <v>442</v>
      </c>
      <c r="D27" s="42" t="s">
        <v>72</v>
      </c>
      <c r="E27" s="42" t="s">
        <v>612</v>
      </c>
      <c r="F27" t="str">
        <f>+IF(COUNTIFS($B$3:B27,B27)&gt;1,"такрор",1)</f>
        <v>такрор</v>
      </c>
    </row>
    <row r="28" spans="1:6" ht="30" x14ac:dyDescent="0.25">
      <c r="A28" s="38">
        <f>+IF(B28="","",SUBTOTAL(3,$B$4:B28))</f>
        <v>25</v>
      </c>
      <c r="B28" s="39" t="s">
        <v>515</v>
      </c>
      <c r="C28" s="40" t="s">
        <v>477</v>
      </c>
      <c r="D28" s="42" t="s">
        <v>73</v>
      </c>
      <c r="E28" s="42" t="s">
        <v>613</v>
      </c>
      <c r="F28">
        <f>+IF(COUNTIFS($B$3:B28,B28)&gt;1,"такрор",1)</f>
        <v>1</v>
      </c>
    </row>
    <row r="29" spans="1:6" ht="30" x14ac:dyDescent="0.25">
      <c r="A29" s="38">
        <f>+IF(B29="","",SUBTOTAL(3,$B$4:B29))</f>
        <v>26</v>
      </c>
      <c r="B29" s="39" t="s">
        <v>515</v>
      </c>
      <c r="C29" s="40" t="s">
        <v>477</v>
      </c>
      <c r="D29" s="42" t="s">
        <v>73</v>
      </c>
      <c r="E29" s="42" t="s">
        <v>614</v>
      </c>
      <c r="F29" t="str">
        <f>+IF(COUNTIFS($B$3:B29,B29)&gt;1,"такрор",1)</f>
        <v>такрор</v>
      </c>
    </row>
    <row r="30" spans="1:6" x14ac:dyDescent="0.25">
      <c r="A30" s="38">
        <f>+IF(B30="","",SUBTOTAL(3,$B$4:B30))</f>
        <v>27</v>
      </c>
      <c r="B30" s="39" t="s">
        <v>468</v>
      </c>
      <c r="C30" s="40" t="s">
        <v>439</v>
      </c>
      <c r="D30" s="42" t="s">
        <v>73</v>
      </c>
      <c r="E30" s="42" t="s">
        <v>615</v>
      </c>
      <c r="F30" t="str">
        <f>+IF(COUNTIFS($B$3:B30,B30)&gt;1,"такрор",1)</f>
        <v>такрор</v>
      </c>
    </row>
    <row r="31" spans="1:6" ht="30" x14ac:dyDescent="0.25">
      <c r="A31" s="38">
        <f>+IF(B31="","",SUBTOTAL(3,$B$4:B31))</f>
        <v>28</v>
      </c>
      <c r="B31" s="39" t="s">
        <v>550</v>
      </c>
      <c r="C31" s="40" t="s">
        <v>495</v>
      </c>
      <c r="D31" s="42" t="s">
        <v>73</v>
      </c>
      <c r="E31" s="42" t="s">
        <v>616</v>
      </c>
      <c r="F31">
        <f>+IF(COUNTIFS($B$3:B31,B31)&gt;1,"такрор",1)</f>
        <v>1</v>
      </c>
    </row>
    <row r="32" spans="1:6" x14ac:dyDescent="0.25">
      <c r="A32" s="38">
        <f>+IF(B32="","",SUBTOTAL(3,$B$4:B32))</f>
        <v>29</v>
      </c>
      <c r="B32" s="39" t="s">
        <v>684</v>
      </c>
      <c r="C32" s="40" t="s">
        <v>442</v>
      </c>
      <c r="D32" s="42" t="s">
        <v>73</v>
      </c>
      <c r="E32" s="42" t="s">
        <v>617</v>
      </c>
      <c r="F32" t="str">
        <f>+IF(COUNTIFS($B$3:B32,B32)&gt;1,"такрор",1)</f>
        <v>такрор</v>
      </c>
    </row>
    <row r="33" spans="1:6" x14ac:dyDescent="0.25">
      <c r="A33" s="38">
        <f>+IF(B33="","",SUBTOTAL(3,$B$4:B33))</f>
        <v>30</v>
      </c>
      <c r="B33" s="39" t="s">
        <v>479</v>
      </c>
      <c r="C33" s="40" t="s">
        <v>442</v>
      </c>
      <c r="D33" s="42" t="s">
        <v>73</v>
      </c>
      <c r="E33" s="42" t="s">
        <v>618</v>
      </c>
      <c r="F33">
        <f>+IF(COUNTIFS($B$3:B33,B33)&gt;1,"такрор",1)</f>
        <v>1</v>
      </c>
    </row>
    <row r="34" spans="1:6" ht="30" x14ac:dyDescent="0.25">
      <c r="A34" s="38">
        <f>+IF(B34="","",SUBTOTAL(3,$B$4:B34))</f>
        <v>31</v>
      </c>
      <c r="B34" s="39" t="s">
        <v>465</v>
      </c>
      <c r="C34" s="40" t="s">
        <v>439</v>
      </c>
      <c r="D34" s="42" t="s">
        <v>73</v>
      </c>
      <c r="E34" s="42" t="s">
        <v>619</v>
      </c>
      <c r="F34" t="str">
        <f>+IF(COUNTIFS($B$3:B34,B34)&gt;1,"такрор",1)</f>
        <v>такрор</v>
      </c>
    </row>
    <row r="35" spans="1:6" x14ac:dyDescent="0.25">
      <c r="A35" s="38">
        <f>+IF(B35="","",SUBTOTAL(3,$B$4:B35))</f>
        <v>32</v>
      </c>
      <c r="B35" s="39" t="s">
        <v>469</v>
      </c>
      <c r="C35" s="40" t="s">
        <v>442</v>
      </c>
      <c r="D35" s="42" t="s">
        <v>73</v>
      </c>
      <c r="E35" s="42" t="s">
        <v>620</v>
      </c>
      <c r="F35" t="str">
        <f>+IF(COUNTIFS($B$3:B35,B35)&gt;1,"такрор",1)</f>
        <v>такрор</v>
      </c>
    </row>
    <row r="36" spans="1:6" x14ac:dyDescent="0.25">
      <c r="A36" s="38">
        <f>+IF(B36="","",SUBTOTAL(3,$B$4:B36))</f>
        <v>33</v>
      </c>
      <c r="B36" s="39" t="s">
        <v>535</v>
      </c>
      <c r="C36" s="40" t="s">
        <v>439</v>
      </c>
      <c r="D36" s="42" t="s">
        <v>73</v>
      </c>
      <c r="E36" s="42" t="s">
        <v>621</v>
      </c>
      <c r="F36" t="str">
        <f>+IF(COUNTIFS($B$3:B36,B36)&gt;1,"такрор",1)</f>
        <v>такрор</v>
      </c>
    </row>
    <row r="37" spans="1:6" x14ac:dyDescent="0.25">
      <c r="A37" s="38">
        <f>+IF(B37="","",SUBTOTAL(3,$B$4:B37))</f>
        <v>34</v>
      </c>
      <c r="B37" s="39" t="s">
        <v>535</v>
      </c>
      <c r="C37" s="40" t="s">
        <v>439</v>
      </c>
      <c r="D37" s="42" t="s">
        <v>73</v>
      </c>
      <c r="E37" s="42" t="s">
        <v>622</v>
      </c>
      <c r="F37" t="str">
        <f>+IF(COUNTIFS($B$3:B37,B37)&gt;1,"такрор",1)</f>
        <v>такрор</v>
      </c>
    </row>
    <row r="38" spans="1:6" ht="30" x14ac:dyDescent="0.25">
      <c r="A38" s="38">
        <f>+IF(B38="","",SUBTOTAL(3,$B$4:B38))</f>
        <v>35</v>
      </c>
      <c r="B38" s="39" t="s">
        <v>515</v>
      </c>
      <c r="C38" s="40" t="s">
        <v>477</v>
      </c>
      <c r="D38" s="42" t="s">
        <v>73</v>
      </c>
      <c r="E38" s="42" t="s">
        <v>623</v>
      </c>
      <c r="F38" t="str">
        <f>+IF(COUNTIFS($B$3:B38,B38)&gt;1,"такрор",1)</f>
        <v>такрор</v>
      </c>
    </row>
    <row r="39" spans="1:6" ht="60" x14ac:dyDescent="0.25">
      <c r="A39" s="38">
        <f>+IF(B39="","",SUBTOTAL(3,$B$4:B39))</f>
        <v>36</v>
      </c>
      <c r="B39" s="39" t="s">
        <v>685</v>
      </c>
      <c r="C39" s="40" t="s">
        <v>447</v>
      </c>
      <c r="D39" s="42" t="s">
        <v>73</v>
      </c>
      <c r="E39" s="42" t="s">
        <v>624</v>
      </c>
      <c r="F39">
        <f>+IF(COUNTIFS($B$3:B39,B39)&gt;1,"такрор",1)</f>
        <v>1</v>
      </c>
    </row>
    <row r="40" spans="1:6" x14ac:dyDescent="0.25">
      <c r="A40" s="38">
        <f>+IF(B40="","",SUBTOTAL(3,$B$4:B40))</f>
        <v>37</v>
      </c>
      <c r="B40" s="39" t="s">
        <v>467</v>
      </c>
      <c r="C40" s="40" t="s">
        <v>442</v>
      </c>
      <c r="D40" s="42" t="s">
        <v>73</v>
      </c>
      <c r="E40" s="42" t="s">
        <v>625</v>
      </c>
      <c r="F40">
        <f>+IF(COUNTIFS($B$3:B40,B40)&gt;1,"такрор",1)</f>
        <v>1</v>
      </c>
    </row>
    <row r="41" spans="1:6" ht="30" x14ac:dyDescent="0.25">
      <c r="A41" s="38">
        <f>+IF(B41="","",SUBTOTAL(3,$B$4:B41))</f>
        <v>38</v>
      </c>
      <c r="B41" s="39" t="s">
        <v>494</v>
      </c>
      <c r="C41" s="40" t="s">
        <v>495</v>
      </c>
      <c r="D41" s="42" t="s">
        <v>74</v>
      </c>
      <c r="E41" s="42" t="s">
        <v>620</v>
      </c>
      <c r="F41" t="str">
        <f>+IF(COUNTIFS($B$3:B41,B41)&gt;1,"такрор",1)</f>
        <v>такрор</v>
      </c>
    </row>
    <row r="42" spans="1:6" x14ac:dyDescent="0.25">
      <c r="A42" s="38">
        <f>+IF(B42="","",SUBTOTAL(3,$B$4:B42))</f>
        <v>39</v>
      </c>
      <c r="B42" s="39" t="s">
        <v>501</v>
      </c>
      <c r="C42" s="40" t="s">
        <v>439</v>
      </c>
      <c r="D42" s="42" t="s">
        <v>74</v>
      </c>
      <c r="E42" s="42" t="s">
        <v>626</v>
      </c>
      <c r="F42">
        <f>+IF(COUNTIFS($B$3:B42,B42)&gt;1,"такрор",1)</f>
        <v>1</v>
      </c>
    </row>
    <row r="43" spans="1:6" x14ac:dyDescent="0.25">
      <c r="A43" s="38">
        <f>+IF(B43="","",SUBTOTAL(3,$B$4:B43))</f>
        <v>40</v>
      </c>
      <c r="B43" s="39" t="s">
        <v>511</v>
      </c>
      <c r="C43" s="40" t="s">
        <v>442</v>
      </c>
      <c r="D43" s="42" t="s">
        <v>74</v>
      </c>
      <c r="E43" s="42" t="s">
        <v>625</v>
      </c>
      <c r="F43" t="str">
        <f>+IF(COUNTIFS($B$3:B43,B43)&gt;1,"такрор",1)</f>
        <v>такрор</v>
      </c>
    </row>
    <row r="44" spans="1:6" x14ac:dyDescent="0.25">
      <c r="A44" s="38">
        <f>+IF(B44="","",SUBTOTAL(3,$B$4:B44))</f>
        <v>41</v>
      </c>
      <c r="B44" s="39" t="s">
        <v>511</v>
      </c>
      <c r="C44" s="40" t="s">
        <v>442</v>
      </c>
      <c r="D44" s="42" t="s">
        <v>74</v>
      </c>
      <c r="E44" s="42" t="s">
        <v>627</v>
      </c>
      <c r="F44" t="str">
        <f>+IF(COUNTIFS($B$3:B44,B44)&gt;1,"такрор",1)</f>
        <v>такрор</v>
      </c>
    </row>
    <row r="45" spans="1:6" x14ac:dyDescent="0.25">
      <c r="A45" s="38">
        <f>+IF(B45="","",SUBTOTAL(3,$B$4:B45))</f>
        <v>42</v>
      </c>
      <c r="B45" s="39" t="s">
        <v>586</v>
      </c>
      <c r="C45" s="40" t="s">
        <v>587</v>
      </c>
      <c r="D45" s="42" t="s">
        <v>74</v>
      </c>
      <c r="E45" s="42" t="s">
        <v>628</v>
      </c>
      <c r="F45">
        <f>+IF(COUNTIFS($B$3:B45,B45)&gt;1,"такрор",1)</f>
        <v>1</v>
      </c>
    </row>
    <row r="46" spans="1:6" x14ac:dyDescent="0.25">
      <c r="A46" s="38">
        <f>+IF(B46="","",SUBTOTAL(3,$B$4:B46))</f>
        <v>43</v>
      </c>
      <c r="B46" s="39" t="s">
        <v>525</v>
      </c>
      <c r="C46" s="40" t="s">
        <v>439</v>
      </c>
      <c r="D46" s="42" t="s">
        <v>74</v>
      </c>
      <c r="E46" s="42" t="s">
        <v>629</v>
      </c>
      <c r="F46" t="str">
        <f>+IF(COUNTIFS($B$3:B46,B46)&gt;1,"такрор",1)</f>
        <v>такрор</v>
      </c>
    </row>
    <row r="47" spans="1:6" x14ac:dyDescent="0.25">
      <c r="A47" s="38">
        <f>+IF(B47="","",SUBTOTAL(3,$B$4:B47))</f>
        <v>44</v>
      </c>
      <c r="B47" s="39" t="s">
        <v>535</v>
      </c>
      <c r="C47" s="40" t="s">
        <v>439</v>
      </c>
      <c r="D47" s="42" t="s">
        <v>74</v>
      </c>
      <c r="E47" s="42" t="s">
        <v>630</v>
      </c>
      <c r="F47" t="str">
        <f>+IF(COUNTIFS($B$3:B47,B47)&gt;1,"такрор",1)</f>
        <v>такрор</v>
      </c>
    </row>
    <row r="48" spans="1:6" x14ac:dyDescent="0.25">
      <c r="A48" s="38">
        <f>+IF(B48="","",SUBTOTAL(3,$B$4:B48))</f>
        <v>45</v>
      </c>
      <c r="B48" s="39" t="s">
        <v>443</v>
      </c>
      <c r="C48" s="40" t="s">
        <v>442</v>
      </c>
      <c r="D48" s="42" t="s">
        <v>74</v>
      </c>
      <c r="E48" s="42" t="s">
        <v>631</v>
      </c>
      <c r="F48">
        <f>+IF(COUNTIFS($B$3:B48,B48)&gt;1,"такрор",1)</f>
        <v>1</v>
      </c>
    </row>
    <row r="49" spans="1:6" x14ac:dyDescent="0.25">
      <c r="A49" s="38">
        <f>+IF(B49="","",SUBTOTAL(3,$B$4:B49))</f>
        <v>46</v>
      </c>
      <c r="B49" s="39" t="s">
        <v>443</v>
      </c>
      <c r="C49" s="40" t="s">
        <v>442</v>
      </c>
      <c r="D49" s="42" t="s">
        <v>74</v>
      </c>
      <c r="E49" s="42" t="s">
        <v>632</v>
      </c>
      <c r="F49" t="str">
        <f>+IF(COUNTIFS($B$3:B49,B49)&gt;1,"такрор",1)</f>
        <v>такрор</v>
      </c>
    </row>
    <row r="50" spans="1:6" ht="30" x14ac:dyDescent="0.25">
      <c r="A50" s="38">
        <f>+IF(B50="","",SUBTOTAL(3,$B$4:B50))</f>
        <v>47</v>
      </c>
      <c r="B50" s="39" t="s">
        <v>458</v>
      </c>
      <c r="C50" s="40" t="s">
        <v>439</v>
      </c>
      <c r="D50" s="42" t="s">
        <v>74</v>
      </c>
      <c r="E50" s="42" t="s">
        <v>633</v>
      </c>
      <c r="F50">
        <f>+IF(COUNTIFS($B$3:B50,B50)&gt;1,"такрор",1)</f>
        <v>1</v>
      </c>
    </row>
    <row r="51" spans="1:6" x14ac:dyDescent="0.25">
      <c r="A51" s="38">
        <f>+IF(B51="","",SUBTOTAL(3,$B$4:B51))</f>
        <v>48</v>
      </c>
      <c r="B51" s="39" t="s">
        <v>516</v>
      </c>
      <c r="C51" s="40" t="s">
        <v>451</v>
      </c>
      <c r="D51" s="42" t="s">
        <v>74</v>
      </c>
      <c r="E51" s="42" t="s">
        <v>634</v>
      </c>
      <c r="F51" t="str">
        <f>+IF(COUNTIFS($B$3:B51,B51)&gt;1,"такрор",1)</f>
        <v>такрор</v>
      </c>
    </row>
    <row r="52" spans="1:6" x14ac:dyDescent="0.25">
      <c r="A52" s="38">
        <f>+IF(B52="","",SUBTOTAL(3,$B$4:B52))</f>
        <v>49</v>
      </c>
      <c r="B52" s="39" t="s">
        <v>554</v>
      </c>
      <c r="C52" s="40" t="s">
        <v>439</v>
      </c>
      <c r="D52" s="42" t="s">
        <v>74</v>
      </c>
      <c r="E52" s="42" t="s">
        <v>635</v>
      </c>
      <c r="F52">
        <f>+IF(COUNTIFS($B$3:B52,B52)&gt;1,"такрор",1)</f>
        <v>1</v>
      </c>
    </row>
    <row r="53" spans="1:6" ht="45" x14ac:dyDescent="0.25">
      <c r="A53" s="38">
        <f>+IF(B53="","",SUBTOTAL(3,$B$4:B53))</f>
        <v>50</v>
      </c>
      <c r="B53" s="39" t="s">
        <v>456</v>
      </c>
      <c r="C53" s="40" t="s">
        <v>457</v>
      </c>
      <c r="D53" s="42" t="s">
        <v>74</v>
      </c>
      <c r="E53" s="42" t="s">
        <v>636</v>
      </c>
      <c r="F53">
        <f>+IF(COUNTIFS($B$3:B53,B53)&gt;1,"такрор",1)</f>
        <v>1</v>
      </c>
    </row>
    <row r="54" spans="1:6" x14ac:dyDescent="0.25">
      <c r="A54" s="38">
        <f>+IF(B54="","",SUBTOTAL(3,$B$4:B54))</f>
        <v>51</v>
      </c>
      <c r="B54" s="39" t="s">
        <v>453</v>
      </c>
      <c r="C54" s="40" t="s">
        <v>439</v>
      </c>
      <c r="D54" s="42" t="s">
        <v>74</v>
      </c>
      <c r="E54" s="42" t="s">
        <v>628</v>
      </c>
      <c r="F54">
        <f>+IF(COUNTIFS($B$3:B54,B54)&gt;1,"такрор",1)</f>
        <v>1</v>
      </c>
    </row>
    <row r="55" spans="1:6" x14ac:dyDescent="0.25">
      <c r="A55" s="38">
        <f>+IF(B55="","",SUBTOTAL(3,$B$4:B55))</f>
        <v>52</v>
      </c>
      <c r="B55" s="39" t="s">
        <v>539</v>
      </c>
      <c r="C55" s="40" t="s">
        <v>442</v>
      </c>
      <c r="D55" s="42" t="s">
        <v>75</v>
      </c>
      <c r="E55" s="42" t="s">
        <v>637</v>
      </c>
      <c r="F55">
        <f>+IF(COUNTIFS($B$3:B55,B55)&gt;1,"такрор",1)</f>
        <v>1</v>
      </c>
    </row>
    <row r="56" spans="1:6" x14ac:dyDescent="0.25">
      <c r="A56" s="38">
        <f>+IF(B56="","",SUBTOTAL(3,$B$4:B56))</f>
        <v>53</v>
      </c>
      <c r="B56" s="39" t="s">
        <v>539</v>
      </c>
      <c r="C56" s="40" t="s">
        <v>442</v>
      </c>
      <c r="D56" s="42" t="s">
        <v>75</v>
      </c>
      <c r="E56" s="42" t="s">
        <v>638</v>
      </c>
      <c r="F56" t="str">
        <f>+IF(COUNTIFS($B$3:B56,B56)&gt;1,"такрор",1)</f>
        <v>такрор</v>
      </c>
    </row>
    <row r="57" spans="1:6" x14ac:dyDescent="0.25">
      <c r="A57" s="38">
        <f>+IF(B57="","",SUBTOTAL(3,$B$4:B57))</f>
        <v>54</v>
      </c>
      <c r="B57" s="39" t="s">
        <v>438</v>
      </c>
      <c r="C57" s="40" t="s">
        <v>439</v>
      </c>
      <c r="D57" s="42" t="s">
        <v>75</v>
      </c>
      <c r="E57" s="42" t="s">
        <v>639</v>
      </c>
      <c r="F57">
        <f>+IF(COUNTIFS($B$3:B57,B57)&gt;1,"такрор",1)</f>
        <v>1</v>
      </c>
    </row>
    <row r="58" spans="1:6" ht="30" x14ac:dyDescent="0.25">
      <c r="A58" s="38">
        <f>+IF(B58="","",SUBTOTAL(3,$B$4:B58))</f>
        <v>55</v>
      </c>
      <c r="B58" s="39" t="s">
        <v>474</v>
      </c>
      <c r="C58" s="40" t="s">
        <v>475</v>
      </c>
      <c r="D58" s="42" t="s">
        <v>75</v>
      </c>
      <c r="E58" s="42" t="s">
        <v>640</v>
      </c>
      <c r="F58">
        <f>+IF(COUNTIFS($B$3:B58,B58)&gt;1,"такрор",1)</f>
        <v>1</v>
      </c>
    </row>
    <row r="59" spans="1:6" ht="30" x14ac:dyDescent="0.25">
      <c r="A59" s="38">
        <f>+IF(B59="","",SUBTOTAL(3,$B$4:B59))</f>
        <v>56</v>
      </c>
      <c r="B59" s="39" t="s">
        <v>478</v>
      </c>
      <c r="C59" s="40" t="s">
        <v>451</v>
      </c>
      <c r="D59" s="42" t="s">
        <v>75</v>
      </c>
      <c r="E59" s="42" t="s">
        <v>637</v>
      </c>
      <c r="F59">
        <f>+IF(COUNTIFS($B$3:B59,B59)&gt;1,"такрор",1)</f>
        <v>1</v>
      </c>
    </row>
    <row r="60" spans="1:6" x14ac:dyDescent="0.25">
      <c r="A60" s="38">
        <f>+IF(B60="","",SUBTOTAL(3,$B$4:B60))</f>
        <v>57</v>
      </c>
      <c r="B60" s="39" t="s">
        <v>480</v>
      </c>
      <c r="C60" s="40" t="s">
        <v>439</v>
      </c>
      <c r="D60" s="42" t="s">
        <v>75</v>
      </c>
      <c r="E60" s="42" t="s">
        <v>641</v>
      </c>
      <c r="F60">
        <f>+IF(COUNTIFS($B$3:B60,B60)&gt;1,"такрор",1)</f>
        <v>1</v>
      </c>
    </row>
    <row r="61" spans="1:6" x14ac:dyDescent="0.25">
      <c r="A61" s="38">
        <f>+IF(B61="","",SUBTOTAL(3,$B$4:B61))</f>
        <v>58</v>
      </c>
      <c r="B61" s="39" t="s">
        <v>470</v>
      </c>
      <c r="C61" s="40" t="s">
        <v>439</v>
      </c>
      <c r="D61" s="42" t="s">
        <v>75</v>
      </c>
      <c r="E61" s="42" t="s">
        <v>642</v>
      </c>
      <c r="F61" t="str">
        <f>+IF(COUNTIFS($B$3:B61,B61)&gt;1,"такрор",1)</f>
        <v>такрор</v>
      </c>
    </row>
    <row r="62" spans="1:6" x14ac:dyDescent="0.25">
      <c r="A62" s="38">
        <f>+IF(B62="","",SUBTOTAL(3,$B$4:B62))</f>
        <v>59</v>
      </c>
      <c r="B62" s="39" t="s">
        <v>453</v>
      </c>
      <c r="C62" s="40" t="s">
        <v>439</v>
      </c>
      <c r="D62" s="42" t="s">
        <v>75</v>
      </c>
      <c r="E62" s="42" t="s">
        <v>643</v>
      </c>
      <c r="F62" t="str">
        <f>+IF(COUNTIFS($B$3:B62,B62)&gt;1,"такрор",1)</f>
        <v>такрор</v>
      </c>
    </row>
    <row r="63" spans="1:6" ht="45" x14ac:dyDescent="0.25">
      <c r="A63" s="38">
        <f>+IF(B63="","",SUBTOTAL(3,$B$4:B63))</f>
        <v>60</v>
      </c>
      <c r="B63" s="39" t="s">
        <v>448</v>
      </c>
      <c r="C63" s="40" t="s">
        <v>449</v>
      </c>
      <c r="D63" s="42" t="s">
        <v>75</v>
      </c>
      <c r="E63" s="42" t="s">
        <v>637</v>
      </c>
      <c r="F63">
        <f>+IF(COUNTIFS($B$3:B63,B63)&gt;1,"такрор",1)</f>
        <v>1</v>
      </c>
    </row>
    <row r="64" spans="1:6" x14ac:dyDescent="0.25">
      <c r="A64" s="38">
        <f>+IF(B64="","",SUBTOTAL(3,$B$4:B64))</f>
        <v>61</v>
      </c>
      <c r="B64" s="39" t="s">
        <v>467</v>
      </c>
      <c r="C64" s="40" t="s">
        <v>442</v>
      </c>
      <c r="D64" s="42" t="s">
        <v>75</v>
      </c>
      <c r="E64" s="42" t="s">
        <v>644</v>
      </c>
      <c r="F64" t="str">
        <f>+IF(COUNTIFS($B$3:B64,B64)&gt;1,"такрор",1)</f>
        <v>такрор</v>
      </c>
    </row>
    <row r="65" spans="1:6" x14ac:dyDescent="0.25">
      <c r="A65" s="38">
        <f>+IF(B65="","",SUBTOTAL(3,$B$4:B65))</f>
        <v>62</v>
      </c>
      <c r="B65" s="39" t="s">
        <v>579</v>
      </c>
      <c r="C65" s="40" t="s">
        <v>439</v>
      </c>
      <c r="D65" s="42" t="s">
        <v>75</v>
      </c>
      <c r="E65" s="42" t="s">
        <v>645</v>
      </c>
      <c r="F65">
        <f>+IF(COUNTIFS($B$3:B65,B65)&gt;1,"такрор",1)</f>
        <v>1</v>
      </c>
    </row>
    <row r="66" spans="1:6" ht="45" x14ac:dyDescent="0.25">
      <c r="A66" s="38">
        <f>+IF(B66="","",SUBTOTAL(3,$B$4:B66))</f>
        <v>63</v>
      </c>
      <c r="B66" s="39" t="s">
        <v>502</v>
      </c>
      <c r="C66" s="40" t="s">
        <v>503</v>
      </c>
      <c r="D66" s="42" t="s">
        <v>75</v>
      </c>
      <c r="E66" s="42" t="s">
        <v>646</v>
      </c>
      <c r="F66">
        <f>+IF(COUNTIFS($B$3:B66,B66)&gt;1,"такрор",1)</f>
        <v>1</v>
      </c>
    </row>
    <row r="67" spans="1:6" x14ac:dyDescent="0.25">
      <c r="A67" s="38">
        <f>+IF(B67="","",SUBTOTAL(3,$B$4:B67))</f>
        <v>64</v>
      </c>
      <c r="B67" s="39" t="s">
        <v>479</v>
      </c>
      <c r="C67" s="40" t="s">
        <v>442</v>
      </c>
      <c r="D67" s="42" t="s">
        <v>76</v>
      </c>
      <c r="E67" s="42" t="s">
        <v>647</v>
      </c>
      <c r="F67" t="str">
        <f>+IF(COUNTIFS($B$3:B67,B67)&gt;1,"такрор",1)</f>
        <v>такрор</v>
      </c>
    </row>
    <row r="68" spans="1:6" ht="30" x14ac:dyDescent="0.25">
      <c r="A68" s="38">
        <f>+IF(B68="","",SUBTOTAL(3,$B$4:B68))</f>
        <v>65</v>
      </c>
      <c r="B68" s="39" t="s">
        <v>552</v>
      </c>
      <c r="C68" s="40" t="s">
        <v>472</v>
      </c>
      <c r="D68" s="42" t="s">
        <v>76</v>
      </c>
      <c r="E68" s="42" t="s">
        <v>648</v>
      </c>
      <c r="F68">
        <f>+IF(COUNTIFS($B$3:B68,B68)&gt;1,"такрор",1)</f>
        <v>1</v>
      </c>
    </row>
    <row r="69" spans="1:6" x14ac:dyDescent="0.25">
      <c r="A69" s="38">
        <f>+IF(B69="","",SUBTOTAL(3,$B$4:B69))</f>
        <v>66</v>
      </c>
      <c r="B69" s="39" t="s">
        <v>549</v>
      </c>
      <c r="C69" s="40" t="s">
        <v>439</v>
      </c>
      <c r="D69" s="42" t="s">
        <v>76</v>
      </c>
      <c r="E69" s="42" t="s">
        <v>648</v>
      </c>
      <c r="F69" t="str">
        <f>+IF(COUNTIFS($B$3:B69,B69)&gt;1,"такрор",1)</f>
        <v>такрор</v>
      </c>
    </row>
    <row r="70" spans="1:6" x14ac:dyDescent="0.25">
      <c r="A70" s="38">
        <f>+IF(B70="","",SUBTOTAL(3,$B$4:B70))</f>
        <v>67</v>
      </c>
      <c r="B70" s="39" t="s">
        <v>438</v>
      </c>
      <c r="C70" s="40" t="s">
        <v>439</v>
      </c>
      <c r="D70" s="42" t="s">
        <v>76</v>
      </c>
      <c r="E70" s="42" t="s">
        <v>648</v>
      </c>
      <c r="F70" t="str">
        <f>+IF(COUNTIFS($B$3:B70,B70)&gt;1,"такрор",1)</f>
        <v>такрор</v>
      </c>
    </row>
    <row r="71" spans="1:6" x14ac:dyDescent="0.25">
      <c r="A71" s="38">
        <f>+IF(B71="","",SUBTOTAL(3,$B$4:B71))</f>
        <v>68</v>
      </c>
      <c r="B71" s="39" t="s">
        <v>564</v>
      </c>
      <c r="C71" s="40" t="s">
        <v>439</v>
      </c>
      <c r="D71" s="42" t="s">
        <v>77</v>
      </c>
      <c r="E71" s="42" t="s">
        <v>649</v>
      </c>
      <c r="F71">
        <f>+IF(COUNTIFS($B$3:B71,B71)&gt;1,"такрор",1)</f>
        <v>1</v>
      </c>
    </row>
    <row r="72" spans="1:6" x14ac:dyDescent="0.25">
      <c r="A72" s="38">
        <f>+IF(B72="","",SUBTOTAL(3,$B$4:B72))</f>
        <v>69</v>
      </c>
      <c r="B72" s="39" t="s">
        <v>585</v>
      </c>
      <c r="C72" s="40" t="s">
        <v>439</v>
      </c>
      <c r="D72" s="42" t="s">
        <v>77</v>
      </c>
      <c r="E72" s="42" t="s">
        <v>650</v>
      </c>
      <c r="F72">
        <f>+IF(COUNTIFS($B$3:B72,B72)&gt;1,"такрор",1)</f>
        <v>1</v>
      </c>
    </row>
    <row r="73" spans="1:6" ht="30" x14ac:dyDescent="0.25">
      <c r="A73" s="38">
        <f>+IF(B73="","",SUBTOTAL(3,$B$4:B73))</f>
        <v>70</v>
      </c>
      <c r="B73" s="39" t="s">
        <v>458</v>
      </c>
      <c r="C73" s="40" t="s">
        <v>439</v>
      </c>
      <c r="D73" s="42" t="s">
        <v>77</v>
      </c>
      <c r="E73" s="42" t="s">
        <v>651</v>
      </c>
      <c r="F73" t="str">
        <f>+IF(COUNTIFS($B$3:B73,B73)&gt;1,"такрор",1)</f>
        <v>такрор</v>
      </c>
    </row>
    <row r="74" spans="1:6" x14ac:dyDescent="0.25">
      <c r="A74" s="38">
        <f>+IF(B74="","",SUBTOTAL(3,$B$4:B74))</f>
        <v>71</v>
      </c>
      <c r="B74" s="39" t="s">
        <v>496</v>
      </c>
      <c r="C74" s="40" t="s">
        <v>439</v>
      </c>
      <c r="D74" s="42" t="s">
        <v>77</v>
      </c>
      <c r="E74" s="42" t="s">
        <v>651</v>
      </c>
      <c r="F74" t="str">
        <f>+IF(COUNTIFS($B$3:B74,B74)&gt;1,"такрор",1)</f>
        <v>такрор</v>
      </c>
    </row>
    <row r="75" spans="1:6" x14ac:dyDescent="0.25">
      <c r="A75" s="38">
        <f>+IF(B75="","",SUBTOTAL(3,$B$4:B75))</f>
        <v>72</v>
      </c>
      <c r="B75" s="39" t="s">
        <v>441</v>
      </c>
      <c r="C75" s="40" t="s">
        <v>442</v>
      </c>
      <c r="D75" s="42" t="s">
        <v>77</v>
      </c>
      <c r="E75" s="42" t="s">
        <v>652</v>
      </c>
      <c r="F75">
        <f>+IF(COUNTIFS($B$3:B75,B75)&gt;1,"такрор",1)</f>
        <v>1</v>
      </c>
    </row>
    <row r="76" spans="1:6" ht="45" x14ac:dyDescent="0.25">
      <c r="A76" s="38">
        <f>+IF(B76="","",SUBTOTAL(3,$B$4:B76))</f>
        <v>73</v>
      </c>
      <c r="B76" s="39" t="s">
        <v>502</v>
      </c>
      <c r="C76" s="40" t="s">
        <v>503</v>
      </c>
      <c r="D76" s="42" t="s">
        <v>77</v>
      </c>
      <c r="E76" s="42" t="s">
        <v>653</v>
      </c>
      <c r="F76" t="str">
        <f>+IF(COUNTIFS($B$3:B76,B76)&gt;1,"такрор",1)</f>
        <v>такрор</v>
      </c>
    </row>
    <row r="77" spans="1:6" x14ac:dyDescent="0.25">
      <c r="A77" s="38">
        <f>+IF(B77="","",SUBTOTAL(3,$B$4:B77))</f>
        <v>74</v>
      </c>
      <c r="B77" s="39" t="s">
        <v>535</v>
      </c>
      <c r="C77" s="40" t="s">
        <v>439</v>
      </c>
      <c r="D77" s="42" t="s">
        <v>328</v>
      </c>
      <c r="E77" s="42" t="s">
        <v>654</v>
      </c>
      <c r="F77" t="str">
        <f>+IF(COUNTIFS($B$3:B77,B77)&gt;1,"такрор",1)</f>
        <v>такрор</v>
      </c>
    </row>
    <row r="78" spans="1:6" x14ac:dyDescent="0.25">
      <c r="A78" s="38">
        <f>+IF(B78="","",SUBTOTAL(3,$B$4:B78))</f>
        <v>75</v>
      </c>
      <c r="B78" s="39" t="s">
        <v>564</v>
      </c>
      <c r="C78" s="40" t="s">
        <v>439</v>
      </c>
      <c r="D78" s="42" t="s">
        <v>328</v>
      </c>
      <c r="E78" s="42" t="s">
        <v>654</v>
      </c>
      <c r="F78" t="str">
        <f>+IF(COUNTIFS($B$3:B78,B78)&gt;1,"такрор",1)</f>
        <v>такрор</v>
      </c>
    </row>
    <row r="79" spans="1:6" x14ac:dyDescent="0.25">
      <c r="A79" s="38">
        <f>+IF(B79="","",SUBTOTAL(3,$B$4:B79))</f>
        <v>76</v>
      </c>
      <c r="B79" s="39" t="s">
        <v>443</v>
      </c>
      <c r="C79" s="40" t="s">
        <v>442</v>
      </c>
      <c r="D79" s="42" t="s">
        <v>328</v>
      </c>
      <c r="E79" s="42" t="s">
        <v>655</v>
      </c>
      <c r="F79" t="str">
        <f>+IF(COUNTIFS($B$3:B79,B79)&gt;1,"такрор",1)</f>
        <v>такрор</v>
      </c>
    </row>
    <row r="80" spans="1:6" x14ac:dyDescent="0.25">
      <c r="A80" s="38">
        <f>+IF(B80="","",SUBTOTAL(3,$B$4:B80))</f>
        <v>77</v>
      </c>
      <c r="B80" s="39" t="s">
        <v>480</v>
      </c>
      <c r="C80" s="40" t="s">
        <v>439</v>
      </c>
      <c r="D80" s="42" t="s">
        <v>328</v>
      </c>
      <c r="E80" s="42" t="s">
        <v>656</v>
      </c>
      <c r="F80" t="str">
        <f>+IF(COUNTIFS($B$3:B80,B80)&gt;1,"такрор",1)</f>
        <v>такрор</v>
      </c>
    </row>
    <row r="81" spans="1:6" x14ac:dyDescent="0.25">
      <c r="A81" s="38">
        <f>+IF(B81="","",SUBTOTAL(3,$B$4:B81))</f>
        <v>78</v>
      </c>
      <c r="B81" s="39" t="s">
        <v>454</v>
      </c>
      <c r="C81" s="40" t="s">
        <v>451</v>
      </c>
      <c r="D81" s="42" t="s">
        <v>328</v>
      </c>
      <c r="E81" s="42" t="s">
        <v>657</v>
      </c>
      <c r="F81">
        <f>+IF(COUNTIFS($B$3:B81,B81)&gt;1,"такрор",1)</f>
        <v>1</v>
      </c>
    </row>
    <row r="82" spans="1:6" x14ac:dyDescent="0.25">
      <c r="A82" s="38">
        <f>+IF(B82="","",SUBTOTAL(3,$B$4:B82))</f>
        <v>79</v>
      </c>
      <c r="B82" s="39" t="s">
        <v>525</v>
      </c>
      <c r="C82" s="40" t="s">
        <v>439</v>
      </c>
      <c r="D82" s="42" t="s">
        <v>328</v>
      </c>
      <c r="E82" s="42" t="s">
        <v>658</v>
      </c>
      <c r="F82" t="str">
        <f>+IF(COUNTIFS($B$3:B82,B82)&gt;1,"такрор",1)</f>
        <v>такрор</v>
      </c>
    </row>
    <row r="83" spans="1:6" ht="45" x14ac:dyDescent="0.25">
      <c r="A83" s="38">
        <f>+IF(B83="","",SUBTOTAL(3,$B$4:B83))</f>
        <v>80</v>
      </c>
      <c r="B83" s="39" t="s">
        <v>485</v>
      </c>
      <c r="C83" s="40" t="s">
        <v>486</v>
      </c>
      <c r="D83" s="42" t="s">
        <v>328</v>
      </c>
      <c r="E83" s="42" t="s">
        <v>659</v>
      </c>
      <c r="F83">
        <f>+IF(COUNTIFS($B$3:B83,B83)&gt;1,"такрор",1)</f>
        <v>1</v>
      </c>
    </row>
    <row r="84" spans="1:6" x14ac:dyDescent="0.25">
      <c r="A84" s="38">
        <f>+IF(B84="","",SUBTOTAL(3,$B$4:B84))</f>
        <v>81</v>
      </c>
      <c r="B84" s="39" t="s">
        <v>518</v>
      </c>
      <c r="C84" s="40" t="s">
        <v>439</v>
      </c>
      <c r="D84" s="42" t="s">
        <v>327</v>
      </c>
      <c r="E84" s="42" t="s">
        <v>660</v>
      </c>
      <c r="F84">
        <f>+IF(COUNTIFS($B$3:B84,B84)&gt;1,"такрор",1)</f>
        <v>1</v>
      </c>
    </row>
    <row r="85" spans="1:6" ht="45" x14ac:dyDescent="0.25">
      <c r="A85" s="38">
        <f>+IF(B85="","",SUBTOTAL(3,$B$4:B85))</f>
        <v>82</v>
      </c>
      <c r="B85" s="39" t="s">
        <v>566</v>
      </c>
      <c r="C85" s="40" t="s">
        <v>462</v>
      </c>
      <c r="D85" s="42" t="s">
        <v>327</v>
      </c>
      <c r="E85" s="42" t="s">
        <v>661</v>
      </c>
      <c r="F85">
        <f>+IF(COUNTIFS($B$3:B85,B85)&gt;1,"такрор",1)</f>
        <v>1</v>
      </c>
    </row>
    <row r="86" spans="1:6" ht="45" x14ac:dyDescent="0.25">
      <c r="A86" s="38">
        <f>+IF(B86="","",SUBTOTAL(3,$B$4:B86))</f>
        <v>83</v>
      </c>
      <c r="B86" s="39" t="s">
        <v>566</v>
      </c>
      <c r="C86" s="40" t="s">
        <v>462</v>
      </c>
      <c r="D86" s="42" t="s">
        <v>327</v>
      </c>
      <c r="E86" s="42" t="s">
        <v>662</v>
      </c>
      <c r="F86" t="str">
        <f>+IF(COUNTIFS($B$3:B86,B86)&gt;1,"такрор",1)</f>
        <v>такрор</v>
      </c>
    </row>
    <row r="87" spans="1:6" ht="45" x14ac:dyDescent="0.25">
      <c r="A87" s="38">
        <f>+IF(B87="","",SUBTOTAL(3,$B$4:B87))</f>
        <v>84</v>
      </c>
      <c r="B87" s="39" t="s">
        <v>487</v>
      </c>
      <c r="C87" s="40" t="s">
        <v>457</v>
      </c>
      <c r="D87" s="42" t="s">
        <v>327</v>
      </c>
      <c r="E87" s="42" t="s">
        <v>663</v>
      </c>
      <c r="F87" t="str">
        <f>+IF(COUNTIFS($B$3:B87,B87)&gt;1,"такрор",1)</f>
        <v>такрор</v>
      </c>
    </row>
    <row r="88" spans="1:6" x14ac:dyDescent="0.25">
      <c r="A88" s="38">
        <f>+IF(B88="","",SUBTOTAL(3,$B$4:B88))</f>
        <v>85</v>
      </c>
      <c r="B88" s="39" t="s">
        <v>450</v>
      </c>
      <c r="C88" s="40" t="s">
        <v>451</v>
      </c>
      <c r="D88" s="42" t="s">
        <v>327</v>
      </c>
      <c r="E88" s="42" t="s">
        <v>664</v>
      </c>
      <c r="F88">
        <f>+IF(COUNTIFS($B$3:B88,B88)&gt;1,"такрор",1)</f>
        <v>1</v>
      </c>
    </row>
    <row r="89" spans="1:6" ht="30" x14ac:dyDescent="0.25">
      <c r="A89" s="38">
        <f>+IF(B89="","",SUBTOTAL(3,$B$4:B89))</f>
        <v>86</v>
      </c>
      <c r="B89" s="39" t="s">
        <v>560</v>
      </c>
      <c r="C89" s="40" t="s">
        <v>477</v>
      </c>
      <c r="D89" s="42" t="s">
        <v>78</v>
      </c>
      <c r="E89" s="42" t="s">
        <v>665</v>
      </c>
      <c r="F89">
        <f>+IF(COUNTIFS($B$3:B89,B89)&gt;1,"такрор",1)</f>
        <v>1</v>
      </c>
    </row>
    <row r="90" spans="1:6" x14ac:dyDescent="0.25">
      <c r="A90" s="38">
        <f>+IF(B90="","",SUBTOTAL(3,$B$4:B90))</f>
        <v>87</v>
      </c>
      <c r="B90" s="39" t="s">
        <v>516</v>
      </c>
      <c r="C90" s="40" t="s">
        <v>451</v>
      </c>
      <c r="D90" s="42" t="s">
        <v>78</v>
      </c>
      <c r="E90" s="42" t="s">
        <v>666</v>
      </c>
      <c r="F90" t="str">
        <f>+IF(COUNTIFS($B$3:B90,B90)&gt;1,"такрор",1)</f>
        <v>такрор</v>
      </c>
    </row>
    <row r="91" spans="1:6" x14ac:dyDescent="0.25">
      <c r="A91" s="38">
        <f>+IF(B91="","",SUBTOTAL(3,$B$4:B91))</f>
        <v>88</v>
      </c>
      <c r="B91" s="39" t="s">
        <v>568</v>
      </c>
      <c r="C91" s="40" t="s">
        <v>439</v>
      </c>
      <c r="D91" s="42" t="s">
        <v>78</v>
      </c>
      <c r="E91" s="42" t="s">
        <v>665</v>
      </c>
      <c r="F91">
        <f>+IF(COUNTIFS($B$3:B91,B91)&gt;1,"такрор",1)</f>
        <v>1</v>
      </c>
    </row>
    <row r="92" spans="1:6" x14ac:dyDescent="0.25">
      <c r="A92" s="38">
        <f>+IF(B92="","",SUBTOTAL(3,$B$4:B92))</f>
        <v>89</v>
      </c>
      <c r="B92" s="39" t="s">
        <v>564</v>
      </c>
      <c r="C92" s="40" t="s">
        <v>439</v>
      </c>
      <c r="D92" s="42" t="s">
        <v>78</v>
      </c>
      <c r="E92" s="42" t="s">
        <v>667</v>
      </c>
      <c r="F92" t="str">
        <f>+IF(COUNTIFS($B$3:B92,B92)&gt;1,"такрор",1)</f>
        <v>такрор</v>
      </c>
    </row>
    <row r="93" spans="1:6" ht="30" x14ac:dyDescent="0.25">
      <c r="A93" s="38">
        <f>+IF(B93="","",SUBTOTAL(3,$B$4:B93))</f>
        <v>90</v>
      </c>
      <c r="B93" s="39" t="s">
        <v>555</v>
      </c>
      <c r="C93" s="40" t="s">
        <v>556</v>
      </c>
      <c r="D93" s="42" t="s">
        <v>78</v>
      </c>
      <c r="E93" s="38" t="s">
        <v>665</v>
      </c>
      <c r="F93">
        <f>+IF(COUNTIFS($B$3:B93,B93)&gt;1,"такрор",1)</f>
        <v>1</v>
      </c>
    </row>
    <row r="94" spans="1:6" x14ac:dyDescent="0.25">
      <c r="A94" s="38">
        <f>+IF(B94="","",SUBTOTAL(3,$B$4:B94))</f>
        <v>91</v>
      </c>
      <c r="B94" s="39" t="s">
        <v>452</v>
      </c>
      <c r="C94" s="40" t="s">
        <v>439</v>
      </c>
      <c r="D94" s="42" t="s">
        <v>78</v>
      </c>
      <c r="E94" s="38" t="s">
        <v>668</v>
      </c>
      <c r="F94">
        <f>+IF(COUNTIFS($B$3:B94,B94)&gt;1,"такрор",1)</f>
        <v>1</v>
      </c>
    </row>
    <row r="95" spans="1:6" x14ac:dyDescent="0.25">
      <c r="A95" s="38">
        <f>+IF(B95="","",SUBTOTAL(3,$B$4:B95))</f>
        <v>92</v>
      </c>
      <c r="B95" s="39" t="s">
        <v>525</v>
      </c>
      <c r="C95" s="40" t="s">
        <v>439</v>
      </c>
      <c r="D95" s="42" t="s">
        <v>78</v>
      </c>
      <c r="E95" s="38" t="s">
        <v>669</v>
      </c>
      <c r="F95" t="str">
        <f>+IF(COUNTIFS($B$3:B95,B95)&gt;1,"такрор",1)</f>
        <v>такрор</v>
      </c>
    </row>
    <row r="96" spans="1:6" ht="30" x14ac:dyDescent="0.25">
      <c r="A96" s="38">
        <f>+IF(B96="","",SUBTOTAL(3,$B$4:B96))</f>
        <v>93</v>
      </c>
      <c r="B96" s="39" t="s">
        <v>686</v>
      </c>
      <c r="C96" s="40" t="s">
        <v>687</v>
      </c>
      <c r="D96" s="42" t="s">
        <v>78</v>
      </c>
      <c r="E96" s="38" t="s">
        <v>670</v>
      </c>
      <c r="F96">
        <f>+IF(COUNTIFS($B$3:B96,B96)&gt;1,"такрор",1)</f>
        <v>1</v>
      </c>
    </row>
    <row r="97" spans="1:6" x14ac:dyDescent="0.25">
      <c r="A97" s="38">
        <f>+IF(B97="","",SUBTOTAL(3,$B$4:B97))</f>
        <v>94</v>
      </c>
      <c r="B97" s="39" t="s">
        <v>688</v>
      </c>
      <c r="C97" s="40" t="s">
        <v>442</v>
      </c>
      <c r="D97" s="42" t="s">
        <v>78</v>
      </c>
      <c r="E97" s="38" t="s">
        <v>665</v>
      </c>
      <c r="F97">
        <f>+IF(COUNTIFS($B$3:B97,B97)&gt;1,"такрор",1)</f>
        <v>1</v>
      </c>
    </row>
    <row r="98" spans="1:6" ht="30" x14ac:dyDescent="0.25">
      <c r="A98" s="38">
        <f>+IF(B98="","",SUBTOTAL(3,$B$4:B98))</f>
        <v>95</v>
      </c>
      <c r="B98" s="39" t="s">
        <v>550</v>
      </c>
      <c r="C98" s="40" t="s">
        <v>495</v>
      </c>
      <c r="D98" s="42" t="s">
        <v>79</v>
      </c>
      <c r="E98" s="38" t="s">
        <v>671</v>
      </c>
      <c r="F98" t="str">
        <f>+IF(COUNTIFS($B$3:B98,B98)&gt;1,"такрор",1)</f>
        <v>такрор</v>
      </c>
    </row>
    <row r="99" spans="1:6" ht="30" x14ac:dyDescent="0.25">
      <c r="A99" s="38">
        <f>+IF(B99="","",SUBTOTAL(3,$B$4:B99))</f>
        <v>96</v>
      </c>
      <c r="B99" s="39" t="s">
        <v>550</v>
      </c>
      <c r="C99" s="40" t="s">
        <v>495</v>
      </c>
      <c r="D99" s="42" t="s">
        <v>79</v>
      </c>
      <c r="E99" s="38" t="s">
        <v>672</v>
      </c>
      <c r="F99" t="str">
        <f>+IF(COUNTIFS($B$3:B99,B99)&gt;1,"такрор",1)</f>
        <v>такрор</v>
      </c>
    </row>
    <row r="100" spans="1:6" x14ac:dyDescent="0.25">
      <c r="A100" s="38">
        <f>+IF(B100="","",SUBTOTAL(3,$B$4:B100))</f>
        <v>97</v>
      </c>
      <c r="B100" s="39" t="s">
        <v>562</v>
      </c>
      <c r="C100" s="40" t="s">
        <v>439</v>
      </c>
      <c r="D100" s="42" t="s">
        <v>79</v>
      </c>
      <c r="E100" s="38" t="s">
        <v>673</v>
      </c>
      <c r="F100">
        <f>+IF(COUNTIFS($B$3:B100,B100)&gt;1,"такрор",1)</f>
        <v>1</v>
      </c>
    </row>
    <row r="101" spans="1:6" x14ac:dyDescent="0.25">
      <c r="A101" s="38">
        <f>+IF(B101="","",SUBTOTAL(3,$B$4:B101))</f>
        <v>98</v>
      </c>
      <c r="B101" s="39" t="s">
        <v>504</v>
      </c>
      <c r="C101" s="40" t="s">
        <v>439</v>
      </c>
      <c r="D101" s="42" t="s">
        <v>79</v>
      </c>
      <c r="E101" s="38" t="s">
        <v>674</v>
      </c>
      <c r="F101" t="str">
        <f>+IF(COUNTIFS($B$3:B101,B101)&gt;1,"такрор",1)</f>
        <v>такрор</v>
      </c>
    </row>
    <row r="102" spans="1:6" x14ac:dyDescent="0.25">
      <c r="A102" s="38">
        <f>+IF(B102="","",SUBTOTAL(3,$B$4:B102))</f>
        <v>99</v>
      </c>
      <c r="B102" s="39" t="s">
        <v>438</v>
      </c>
      <c r="C102" s="40" t="s">
        <v>439</v>
      </c>
      <c r="D102" s="42" t="s">
        <v>79</v>
      </c>
      <c r="E102" s="38" t="s">
        <v>675</v>
      </c>
      <c r="F102" t="str">
        <f>+IF(COUNTIFS($B$3:B102,B102)&gt;1,"такрор",1)</f>
        <v>такрор</v>
      </c>
    </row>
    <row r="103" spans="1:6" x14ac:dyDescent="0.25">
      <c r="A103" s="38">
        <f>+IF(B103="","",SUBTOTAL(3,$B$4:B103))</f>
        <v>100</v>
      </c>
      <c r="B103" s="39" t="s">
        <v>586</v>
      </c>
      <c r="C103" s="40" t="s">
        <v>587</v>
      </c>
      <c r="D103" s="42" t="s">
        <v>79</v>
      </c>
      <c r="E103" s="38" t="s">
        <v>675</v>
      </c>
      <c r="F103" t="str">
        <f>+IF(COUNTIFS($B$3:B103,B103)&gt;1,"такрор",1)</f>
        <v>такрор</v>
      </c>
    </row>
    <row r="104" spans="1:6" ht="45" x14ac:dyDescent="0.25">
      <c r="A104" s="38">
        <f>+IF(B104="","",SUBTOTAL(3,$B$4:B104))</f>
        <v>101</v>
      </c>
      <c r="B104" s="39" t="s">
        <v>456</v>
      </c>
      <c r="C104" s="40" t="s">
        <v>457</v>
      </c>
      <c r="D104" s="42" t="s">
        <v>79</v>
      </c>
      <c r="E104" s="38" t="s">
        <v>676</v>
      </c>
      <c r="F104" t="str">
        <f>+IF(COUNTIFS($B$3:B104,B104)&gt;1,"такрор",1)</f>
        <v>такрор</v>
      </c>
    </row>
    <row r="105" spans="1:6" ht="60" x14ac:dyDescent="0.25">
      <c r="A105" s="38">
        <f>+IF(B105="","",SUBTOTAL(3,$B$4:B105))</f>
        <v>102</v>
      </c>
      <c r="B105" s="39" t="s">
        <v>527</v>
      </c>
      <c r="C105" s="40" t="s">
        <v>528</v>
      </c>
      <c r="D105" s="42" t="s">
        <v>79</v>
      </c>
      <c r="E105" s="38" t="s">
        <v>677</v>
      </c>
      <c r="F105" t="str">
        <f>+IF(COUNTIFS($B$3:B105,B105)&gt;1,"такрор",1)</f>
        <v>такрор</v>
      </c>
    </row>
    <row r="106" spans="1:6" x14ac:dyDescent="0.25">
      <c r="A106" s="38">
        <f>+IF(B106="","",SUBTOTAL(3,$B$4:B106))</f>
        <v>103</v>
      </c>
      <c r="B106" s="39" t="s">
        <v>481</v>
      </c>
      <c r="C106" s="40" t="s">
        <v>442</v>
      </c>
      <c r="D106" s="42" t="s">
        <v>79</v>
      </c>
      <c r="E106" s="38" t="s">
        <v>678</v>
      </c>
      <c r="F106" t="str">
        <f>+IF(COUNTIFS($B$3:B106,B106)&gt;1,"такрор",1)</f>
        <v>такрор</v>
      </c>
    </row>
  </sheetData>
  <autoFilter ref="A3:F106"/>
  <mergeCells count="1">
    <mergeCell ref="A1:E1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xSplit="1" ySplit="2" topLeftCell="B3" activePane="bottomRight" state="frozen"/>
      <selection activeCell="A5" sqref="A5"/>
      <selection pane="topRight" activeCell="A5" sqref="A5"/>
      <selection pane="bottomLeft" activeCell="A5" sqref="A5"/>
      <selection pane="bottomRight" activeCell="C6" sqref="C6"/>
    </sheetView>
  </sheetViews>
  <sheetFormatPr defaultRowHeight="15" x14ac:dyDescent="0.25"/>
  <cols>
    <col min="1" max="1" width="7.42578125" customWidth="1"/>
    <col min="2" max="2" width="36.85546875" style="43" customWidth="1"/>
    <col min="3" max="3" width="29.28515625" style="44" customWidth="1"/>
    <col min="4" max="4" width="19.85546875" style="44" customWidth="1"/>
  </cols>
  <sheetData>
    <row r="1" spans="1:4" ht="66" customHeight="1" x14ac:dyDescent="0.25">
      <c r="A1" s="60" t="s">
        <v>1007</v>
      </c>
      <c r="B1" s="60"/>
      <c r="C1" s="60"/>
      <c r="D1" s="60"/>
    </row>
    <row r="2" spans="1:4" s="1" customFormat="1" ht="49.5" customHeight="1" x14ac:dyDescent="0.25">
      <c r="A2" s="35" t="s">
        <v>69</v>
      </c>
      <c r="B2" s="35" t="s">
        <v>430</v>
      </c>
      <c r="C2" s="35" t="s">
        <v>431</v>
      </c>
      <c r="D2" s="35" t="s">
        <v>1008</v>
      </c>
    </row>
    <row r="3" spans="1:4" ht="15.75" x14ac:dyDescent="0.25">
      <c r="A3" s="35"/>
      <c r="B3" s="35"/>
      <c r="C3" s="35"/>
      <c r="D3" s="35"/>
    </row>
    <row r="4" spans="1:4" x14ac:dyDescent="0.25">
      <c r="A4" s="38">
        <f>+IF(B4="","",SUBTOTAL(3,$B$4:B4))</f>
        <v>1</v>
      </c>
      <c r="B4" s="39" t="s">
        <v>551</v>
      </c>
      <c r="C4" s="40" t="s">
        <v>439</v>
      </c>
      <c r="D4" s="42" t="s">
        <v>71</v>
      </c>
    </row>
    <row r="5" spans="1:4" x14ac:dyDescent="0.25">
      <c r="A5" s="38">
        <f>+IF(B5="","",SUBTOTAL(3,$B$4:B5))</f>
        <v>2</v>
      </c>
      <c r="B5" s="39" t="s">
        <v>470</v>
      </c>
      <c r="C5" s="40" t="s">
        <v>439</v>
      </c>
      <c r="D5" s="42" t="s">
        <v>76</v>
      </c>
    </row>
  </sheetData>
  <autoFilter ref="A3:D5"/>
  <mergeCells count="1">
    <mergeCell ref="A1:D1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6"/>
  <sheetViews>
    <sheetView view="pageBreakPreview" zoomScaleNormal="100" zoomScaleSheetLayoutView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7" sqref="B7"/>
    </sheetView>
  </sheetViews>
  <sheetFormatPr defaultRowHeight="15" x14ac:dyDescent="0.25"/>
  <cols>
    <col min="1" max="1" width="6.85546875" customWidth="1"/>
    <col min="2" max="2" width="17.42578125" style="33" customWidth="1"/>
    <col min="3" max="3" width="12.140625" bestFit="1" customWidth="1"/>
    <col min="4" max="4" width="37.140625" customWidth="1"/>
    <col min="5" max="5" width="15.140625" style="57" customWidth="1"/>
    <col min="6" max="6" width="16.5703125" bestFit="1" customWidth="1"/>
    <col min="7" max="7" width="14.140625" customWidth="1"/>
    <col min="8" max="8" width="33" customWidth="1"/>
    <col min="9" max="9" width="14.5703125" customWidth="1"/>
    <col min="10" max="10" width="9.28515625" customWidth="1"/>
    <col min="11" max="11" width="16.28515625" customWidth="1"/>
    <col min="12" max="12" width="12.28515625" customWidth="1"/>
    <col min="13" max="13" width="15" bestFit="1" customWidth="1"/>
  </cols>
  <sheetData>
    <row r="1" spans="1:13" ht="57.75" customHeight="1" x14ac:dyDescent="0.25">
      <c r="A1" s="66" t="s">
        <v>81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3" x14ac:dyDescent="0.25">
      <c r="E2"/>
    </row>
    <row r="3" spans="1:13" x14ac:dyDescent="0.25">
      <c r="E3"/>
    </row>
    <row r="4" spans="1:13" s="1" customFormat="1" ht="50.25" customHeight="1" x14ac:dyDescent="0.25">
      <c r="A4" s="8" t="s">
        <v>69</v>
      </c>
      <c r="B4" s="9" t="s">
        <v>82</v>
      </c>
      <c r="C4" s="9" t="s">
        <v>83</v>
      </c>
      <c r="D4" s="9" t="s">
        <v>84</v>
      </c>
      <c r="E4" s="9" t="s">
        <v>1012</v>
      </c>
      <c r="F4" s="9" t="s">
        <v>85</v>
      </c>
      <c r="G4" s="9" t="s">
        <v>86</v>
      </c>
      <c r="H4" s="9" t="s">
        <v>87</v>
      </c>
      <c r="I4" s="9" t="s">
        <v>88</v>
      </c>
      <c r="J4" s="9" t="s">
        <v>89</v>
      </c>
      <c r="K4" s="10" t="s">
        <v>90</v>
      </c>
      <c r="L4" s="11" t="s">
        <v>91</v>
      </c>
    </row>
    <row r="5" spans="1:13" s="15" customFormat="1" x14ac:dyDescent="0.25">
      <c r="A5" s="12" t="s">
        <v>92</v>
      </c>
      <c r="B5" s="13">
        <v>1</v>
      </c>
      <c r="C5" s="13">
        <f>+B5+1</f>
        <v>2</v>
      </c>
      <c r="D5" s="13">
        <f t="shared" ref="D5:K5" si="0">+C5+1</f>
        <v>3</v>
      </c>
      <c r="E5" s="13">
        <f t="shared" ref="E5" si="1">+D5+1</f>
        <v>4</v>
      </c>
      <c r="F5" s="13">
        <f t="shared" ref="F5" si="2">+E5+1</f>
        <v>5</v>
      </c>
      <c r="G5" s="13">
        <f t="shared" si="0"/>
        <v>6</v>
      </c>
      <c r="H5" s="13">
        <f t="shared" si="0"/>
        <v>7</v>
      </c>
      <c r="I5" s="13">
        <f t="shared" si="0"/>
        <v>8</v>
      </c>
      <c r="J5" s="13">
        <f t="shared" si="0"/>
        <v>9</v>
      </c>
      <c r="K5" s="14">
        <f t="shared" si="0"/>
        <v>10</v>
      </c>
    </row>
    <row r="6" spans="1:13" s="15" customFormat="1" x14ac:dyDescent="0.25">
      <c r="A6" s="12"/>
      <c r="B6" s="13"/>
      <c r="C6" s="13"/>
      <c r="D6" s="13" t="s">
        <v>80</v>
      </c>
      <c r="E6" s="13"/>
      <c r="F6" s="13"/>
      <c r="G6" s="13"/>
      <c r="H6" s="13"/>
      <c r="I6" s="13"/>
      <c r="J6" s="13"/>
      <c r="K6" s="16">
        <f>+SUBTOTAL(9,K7:K85)</f>
        <v>4137387795.9200001</v>
      </c>
      <c r="L6" s="5"/>
      <c r="M6" s="5"/>
    </row>
    <row r="7" spans="1:13" ht="45" x14ac:dyDescent="0.25">
      <c r="A7" s="17">
        <f>+IF(B7="","",SUBTOTAL(3,$B$7:B7))</f>
        <v>1</v>
      </c>
      <c r="B7" s="18" t="s">
        <v>93</v>
      </c>
      <c r="C7" s="19">
        <v>45664</v>
      </c>
      <c r="D7" s="20" t="s">
        <v>94</v>
      </c>
      <c r="E7" s="18" t="s">
        <v>97</v>
      </c>
      <c r="F7" s="21">
        <v>305109680</v>
      </c>
      <c r="G7" s="21" t="s">
        <v>95</v>
      </c>
      <c r="H7" s="20" t="s">
        <v>96</v>
      </c>
      <c r="I7" s="22">
        <v>1</v>
      </c>
      <c r="J7" s="21" t="s">
        <v>97</v>
      </c>
      <c r="K7" s="23">
        <v>2408400</v>
      </c>
      <c r="M7" s="7"/>
    </row>
    <row r="8" spans="1:13" x14ac:dyDescent="0.25">
      <c r="A8" s="17">
        <f>+IF(B8="","",SUBTOTAL(3,$B$7:B8))</f>
        <v>2</v>
      </c>
      <c r="B8" s="18" t="s">
        <v>98</v>
      </c>
      <c r="C8" s="19">
        <v>45693</v>
      </c>
      <c r="D8" s="20" t="s">
        <v>99</v>
      </c>
      <c r="E8" s="18" t="s">
        <v>1010</v>
      </c>
      <c r="F8" s="21">
        <v>300701930</v>
      </c>
      <c r="G8" s="21">
        <v>2950810</v>
      </c>
      <c r="H8" s="20" t="s">
        <v>100</v>
      </c>
      <c r="I8" s="22">
        <v>250000</v>
      </c>
      <c r="J8" s="21" t="s">
        <v>101</v>
      </c>
      <c r="K8" s="23">
        <v>35000000</v>
      </c>
      <c r="M8" s="7"/>
    </row>
    <row r="9" spans="1:13" x14ac:dyDescent="0.25">
      <c r="A9" s="17">
        <f>+IF(B9="","",SUBTOTAL(3,$B$7:B9))</f>
        <v>3</v>
      </c>
      <c r="B9" s="18" t="s">
        <v>93</v>
      </c>
      <c r="C9" s="19">
        <v>45694</v>
      </c>
      <c r="D9" s="20" t="s">
        <v>102</v>
      </c>
      <c r="E9" s="18" t="s">
        <v>1010</v>
      </c>
      <c r="F9" s="21">
        <v>200833833</v>
      </c>
      <c r="G9" s="21">
        <v>34</v>
      </c>
      <c r="H9" s="20" t="s">
        <v>103</v>
      </c>
      <c r="I9" s="22">
        <v>800</v>
      </c>
      <c r="J9" s="21" t="s">
        <v>101</v>
      </c>
      <c r="K9" s="23">
        <v>400000</v>
      </c>
      <c r="M9" s="7"/>
    </row>
    <row r="10" spans="1:13" ht="45" x14ac:dyDescent="0.25">
      <c r="A10" s="17">
        <f>+IF(B10="","",SUBTOTAL(3,$B$7:B10))</f>
        <v>4</v>
      </c>
      <c r="B10" s="18" t="s">
        <v>93</v>
      </c>
      <c r="C10" s="19">
        <v>45701</v>
      </c>
      <c r="D10" s="20" t="s">
        <v>104</v>
      </c>
      <c r="E10" s="18" t="s">
        <v>97</v>
      </c>
      <c r="F10" s="21">
        <v>201991922</v>
      </c>
      <c r="G10" s="21" t="s">
        <v>105</v>
      </c>
      <c r="H10" s="20" t="s">
        <v>106</v>
      </c>
      <c r="I10" s="22">
        <v>1</v>
      </c>
      <c r="J10" s="21" t="s">
        <v>97</v>
      </c>
      <c r="K10" s="23">
        <v>450000</v>
      </c>
      <c r="M10" s="7"/>
    </row>
    <row r="11" spans="1:13" x14ac:dyDescent="0.25">
      <c r="A11" s="17">
        <f>+IF(B11="","",SUBTOTAL(3,$B$7:B11))</f>
        <v>5</v>
      </c>
      <c r="B11" s="18" t="s">
        <v>93</v>
      </c>
      <c r="C11" s="19">
        <v>45743</v>
      </c>
      <c r="D11" s="20" t="s">
        <v>107</v>
      </c>
      <c r="E11" s="18" t="s">
        <v>1010</v>
      </c>
      <c r="F11" s="21">
        <v>309676537</v>
      </c>
      <c r="G11" s="21" t="s">
        <v>108</v>
      </c>
      <c r="H11" s="20" t="s">
        <v>109</v>
      </c>
      <c r="I11" s="22">
        <v>60</v>
      </c>
      <c r="J11" s="21" t="s">
        <v>110</v>
      </c>
      <c r="K11" s="23">
        <v>744000</v>
      </c>
      <c r="M11" s="7"/>
    </row>
    <row r="12" spans="1:13" x14ac:dyDescent="0.25">
      <c r="A12" s="17">
        <f>+IF(B12="","",SUBTOTAL(3,$B$7:B12))</f>
        <v>6</v>
      </c>
      <c r="B12" s="18" t="s">
        <v>93</v>
      </c>
      <c r="C12" s="19">
        <v>45748</v>
      </c>
      <c r="D12" s="20" t="s">
        <v>111</v>
      </c>
      <c r="E12" s="18" t="s">
        <v>97</v>
      </c>
      <c r="F12" s="21">
        <v>306350099</v>
      </c>
      <c r="G12" s="21">
        <v>2968</v>
      </c>
      <c r="H12" s="20" t="s">
        <v>112</v>
      </c>
      <c r="I12" s="22">
        <v>1620000</v>
      </c>
      <c r="J12" s="21" t="s">
        <v>113</v>
      </c>
      <c r="K12" s="23">
        <v>1620000000</v>
      </c>
      <c r="M12" s="7"/>
    </row>
    <row r="13" spans="1:13" ht="30" x14ac:dyDescent="0.25">
      <c r="A13" s="17">
        <f>+IF(B13="","",SUBTOTAL(3,$B$7:B13))</f>
        <v>7</v>
      </c>
      <c r="B13" s="18" t="s">
        <v>93</v>
      </c>
      <c r="C13" s="19">
        <v>45757</v>
      </c>
      <c r="D13" s="20" t="s">
        <v>114</v>
      </c>
      <c r="E13" s="18" t="s">
        <v>1010</v>
      </c>
      <c r="F13" s="21">
        <v>305861856</v>
      </c>
      <c r="G13" s="21">
        <v>1649</v>
      </c>
      <c r="H13" s="20" t="s">
        <v>115</v>
      </c>
      <c r="I13" s="22">
        <v>1</v>
      </c>
      <c r="J13" s="21" t="s">
        <v>101</v>
      </c>
      <c r="K13" s="23">
        <v>1546268</v>
      </c>
      <c r="M13" s="7"/>
    </row>
    <row r="14" spans="1:13" x14ac:dyDescent="0.25">
      <c r="A14" s="17">
        <f>+IF(B14="","",SUBTOTAL(3,$B$7:B14))</f>
        <v>8</v>
      </c>
      <c r="B14" s="18" t="s">
        <v>116</v>
      </c>
      <c r="C14" s="19">
        <v>45763</v>
      </c>
      <c r="D14" s="20" t="s">
        <v>117</v>
      </c>
      <c r="E14" s="18" t="s">
        <v>1010</v>
      </c>
      <c r="F14" s="21">
        <v>311586278</v>
      </c>
      <c r="G14" s="21">
        <v>3152469</v>
      </c>
      <c r="H14" s="20" t="s">
        <v>118</v>
      </c>
      <c r="I14" s="22">
        <v>16</v>
      </c>
      <c r="J14" s="21" t="s">
        <v>101</v>
      </c>
      <c r="K14" s="23">
        <v>878240</v>
      </c>
      <c r="M14" s="7"/>
    </row>
    <row r="15" spans="1:13" ht="30" x14ac:dyDescent="0.25">
      <c r="A15" s="17">
        <f>+IF(B15="","",SUBTOTAL(3,$B$7:B15))</f>
        <v>9</v>
      </c>
      <c r="B15" s="18" t="s">
        <v>116</v>
      </c>
      <c r="C15" s="19">
        <v>45764</v>
      </c>
      <c r="D15" s="20" t="s">
        <v>119</v>
      </c>
      <c r="E15" s="18" t="s">
        <v>97</v>
      </c>
      <c r="F15" s="21">
        <v>204339803</v>
      </c>
      <c r="G15" s="21">
        <v>3156449</v>
      </c>
      <c r="H15" s="20" t="s">
        <v>120</v>
      </c>
      <c r="I15" s="22">
        <v>3</v>
      </c>
      <c r="J15" s="21" t="s">
        <v>97</v>
      </c>
      <c r="K15" s="23">
        <v>1056000</v>
      </c>
      <c r="M15" s="7"/>
    </row>
    <row r="16" spans="1:13" ht="30" x14ac:dyDescent="0.25">
      <c r="A16" s="17">
        <f>+IF(B16="","",SUBTOTAL(3,$B$7:B16))</f>
        <v>10</v>
      </c>
      <c r="B16" s="18" t="s">
        <v>116</v>
      </c>
      <c r="C16" s="19">
        <v>45764</v>
      </c>
      <c r="D16" s="20" t="s">
        <v>121</v>
      </c>
      <c r="E16" s="18" t="s">
        <v>1011</v>
      </c>
      <c r="F16" s="58" t="s">
        <v>1009</v>
      </c>
      <c r="G16" s="21">
        <v>3156460</v>
      </c>
      <c r="H16" s="20" t="s">
        <v>122</v>
      </c>
      <c r="I16" s="22">
        <v>1</v>
      </c>
      <c r="J16" s="21" t="s">
        <v>101</v>
      </c>
      <c r="K16" s="23">
        <v>20000000</v>
      </c>
      <c r="M16" s="7"/>
    </row>
    <row r="17" spans="1:13" ht="30" x14ac:dyDescent="0.25">
      <c r="A17" s="17">
        <f>+IF(B17="","",SUBTOTAL(3,$B$7:B17))</f>
        <v>11</v>
      </c>
      <c r="B17" s="18" t="s">
        <v>93</v>
      </c>
      <c r="C17" s="19">
        <v>45775</v>
      </c>
      <c r="D17" s="20" t="s">
        <v>123</v>
      </c>
      <c r="E17" s="18" t="s">
        <v>97</v>
      </c>
      <c r="F17" s="21">
        <v>201971646</v>
      </c>
      <c r="G17" s="21" t="s">
        <v>124</v>
      </c>
      <c r="H17" s="20" t="s">
        <v>125</v>
      </c>
      <c r="I17" s="22">
        <v>1</v>
      </c>
      <c r="J17" s="21" t="s">
        <v>97</v>
      </c>
      <c r="K17" s="23">
        <v>2045832</v>
      </c>
      <c r="M17" s="7"/>
    </row>
    <row r="18" spans="1:13" ht="45" x14ac:dyDescent="0.25">
      <c r="A18" s="17">
        <f>+IF(B18="","",SUBTOTAL(3,$B$7:B18))</f>
        <v>12</v>
      </c>
      <c r="B18" s="18" t="s">
        <v>93</v>
      </c>
      <c r="C18" s="19">
        <v>45773</v>
      </c>
      <c r="D18" s="20" t="s">
        <v>126</v>
      </c>
      <c r="E18" s="18" t="s">
        <v>97</v>
      </c>
      <c r="F18" s="21">
        <v>201555901</v>
      </c>
      <c r="G18" s="21">
        <v>14</v>
      </c>
      <c r="H18" s="20" t="s">
        <v>127</v>
      </c>
      <c r="I18" s="22">
        <v>1</v>
      </c>
      <c r="J18" s="21" t="s">
        <v>97</v>
      </c>
      <c r="K18" s="23">
        <v>6939031.6799999997</v>
      </c>
      <c r="M18" s="7"/>
    </row>
    <row r="19" spans="1:13" x14ac:dyDescent="0.25">
      <c r="A19" s="17">
        <f>+IF(B19="","",SUBTOTAL(3,$B$7:B19))</f>
        <v>13</v>
      </c>
      <c r="B19" s="18" t="s">
        <v>116</v>
      </c>
      <c r="C19" s="19">
        <v>45791</v>
      </c>
      <c r="D19" s="20" t="s">
        <v>128</v>
      </c>
      <c r="E19" s="18" t="s">
        <v>1010</v>
      </c>
      <c r="F19" s="21">
        <v>308603801</v>
      </c>
      <c r="G19" s="21">
        <v>3233693</v>
      </c>
      <c r="H19" s="20" t="s">
        <v>129</v>
      </c>
      <c r="I19" s="22">
        <v>300</v>
      </c>
      <c r="J19" s="21" t="s">
        <v>101</v>
      </c>
      <c r="K19" s="23">
        <v>4499400</v>
      </c>
      <c r="M19" s="7"/>
    </row>
    <row r="20" spans="1:13" x14ac:dyDescent="0.25">
      <c r="A20" s="17">
        <f>+IF(B20="","",SUBTOTAL(3,$B$7:B20))</f>
        <v>14</v>
      </c>
      <c r="B20" s="18" t="s">
        <v>116</v>
      </c>
      <c r="C20" s="19">
        <v>45793</v>
      </c>
      <c r="D20" s="20" t="s">
        <v>130</v>
      </c>
      <c r="E20" s="18" t="s">
        <v>1010</v>
      </c>
      <c r="F20" s="21">
        <v>305478152</v>
      </c>
      <c r="G20" s="21">
        <v>3248877</v>
      </c>
      <c r="H20" s="20" t="s">
        <v>131</v>
      </c>
      <c r="I20" s="22">
        <v>100</v>
      </c>
      <c r="J20" s="21" t="s">
        <v>132</v>
      </c>
      <c r="K20" s="23">
        <v>215000</v>
      </c>
      <c r="M20" s="7"/>
    </row>
    <row r="21" spans="1:13" ht="30" x14ac:dyDescent="0.25">
      <c r="A21" s="17">
        <f>+IF(B21="","",SUBTOTAL(3,$B$7:B21))</f>
        <v>15</v>
      </c>
      <c r="B21" s="18" t="s">
        <v>116</v>
      </c>
      <c r="C21" s="19">
        <v>45793</v>
      </c>
      <c r="D21" s="20" t="s">
        <v>133</v>
      </c>
      <c r="E21" s="18" t="s">
        <v>1010</v>
      </c>
      <c r="F21" s="21">
        <v>32401852700024</v>
      </c>
      <c r="G21" s="21">
        <v>3248837</v>
      </c>
      <c r="H21" s="20" t="s">
        <v>134</v>
      </c>
      <c r="I21" s="22">
        <v>10</v>
      </c>
      <c r="J21" s="21" t="s">
        <v>101</v>
      </c>
      <c r="K21" s="23">
        <v>369990</v>
      </c>
      <c r="M21" s="7"/>
    </row>
    <row r="22" spans="1:13" x14ac:dyDescent="0.25">
      <c r="A22" s="17">
        <f>+IF(B22="","",SUBTOTAL(3,$B$7:B22))</f>
        <v>16</v>
      </c>
      <c r="B22" s="18" t="s">
        <v>116</v>
      </c>
      <c r="C22" s="19">
        <v>45797</v>
      </c>
      <c r="D22" s="20" t="s">
        <v>135</v>
      </c>
      <c r="E22" s="18" t="s">
        <v>1010</v>
      </c>
      <c r="F22" s="21">
        <v>306089114</v>
      </c>
      <c r="G22" s="21">
        <v>3262944</v>
      </c>
      <c r="H22" s="20" t="s">
        <v>136</v>
      </c>
      <c r="I22" s="22">
        <v>100</v>
      </c>
      <c r="J22" s="21" t="s">
        <v>101</v>
      </c>
      <c r="K22" s="23">
        <v>100000</v>
      </c>
      <c r="M22" s="7"/>
    </row>
    <row r="23" spans="1:13" x14ac:dyDescent="0.25">
      <c r="A23" s="17">
        <f>+IF(B23="","",SUBTOTAL(3,$B$7:B23))</f>
        <v>17</v>
      </c>
      <c r="B23" s="18" t="s">
        <v>116</v>
      </c>
      <c r="C23" s="19">
        <v>45797</v>
      </c>
      <c r="D23" s="20" t="s">
        <v>135</v>
      </c>
      <c r="E23" s="18" t="s">
        <v>1010</v>
      </c>
      <c r="F23" s="21">
        <v>306089114</v>
      </c>
      <c r="G23" s="21">
        <v>3263124</v>
      </c>
      <c r="H23" s="20" t="s">
        <v>137</v>
      </c>
      <c r="I23" s="22">
        <v>100</v>
      </c>
      <c r="J23" s="21" t="s">
        <v>101</v>
      </c>
      <c r="K23" s="23">
        <v>1200000</v>
      </c>
      <c r="M23" s="7"/>
    </row>
    <row r="24" spans="1:13" x14ac:dyDescent="0.25">
      <c r="A24" s="17">
        <f>+IF(B24="","",SUBTOTAL(3,$B$7:B24))</f>
        <v>18</v>
      </c>
      <c r="B24" s="18" t="s">
        <v>116</v>
      </c>
      <c r="C24" s="19">
        <v>45798</v>
      </c>
      <c r="D24" s="20" t="s">
        <v>138</v>
      </c>
      <c r="E24" s="18" t="s">
        <v>1010</v>
      </c>
      <c r="F24" s="21">
        <v>205247459</v>
      </c>
      <c r="G24" s="21">
        <v>3270369</v>
      </c>
      <c r="H24" s="20" t="s">
        <v>139</v>
      </c>
      <c r="I24" s="22">
        <v>100</v>
      </c>
      <c r="J24" s="21" t="s">
        <v>140</v>
      </c>
      <c r="K24" s="23">
        <v>809200</v>
      </c>
      <c r="M24" s="7"/>
    </row>
    <row r="25" spans="1:13" x14ac:dyDescent="0.25">
      <c r="A25" s="17">
        <f>+IF(B25="","",SUBTOTAL(3,$B$7:B25))</f>
        <v>19</v>
      </c>
      <c r="B25" s="18" t="s">
        <v>93</v>
      </c>
      <c r="C25" s="19">
        <v>45800</v>
      </c>
      <c r="D25" s="20" t="s">
        <v>107</v>
      </c>
      <c r="E25" s="18" t="s">
        <v>1010</v>
      </c>
      <c r="F25" s="21">
        <v>309676537</v>
      </c>
      <c r="G25" s="21" t="s">
        <v>141</v>
      </c>
      <c r="H25" s="20" t="s">
        <v>109</v>
      </c>
      <c r="I25" s="22">
        <v>60</v>
      </c>
      <c r="J25" s="21" t="s">
        <v>110</v>
      </c>
      <c r="K25" s="23">
        <v>744000</v>
      </c>
      <c r="M25" s="7"/>
    </row>
    <row r="26" spans="1:13" x14ac:dyDescent="0.25">
      <c r="A26" s="17">
        <f>+IF(B26="","",SUBTOTAL(3,$B$7:B26))</f>
        <v>20</v>
      </c>
      <c r="B26" s="18" t="s">
        <v>116</v>
      </c>
      <c r="C26" s="19">
        <v>45811</v>
      </c>
      <c r="D26" s="20" t="s">
        <v>142</v>
      </c>
      <c r="E26" s="18" t="s">
        <v>1010</v>
      </c>
      <c r="F26" s="21">
        <v>32711790221731</v>
      </c>
      <c r="G26" s="21">
        <v>3328974</v>
      </c>
      <c r="H26" s="20" t="s">
        <v>143</v>
      </c>
      <c r="I26" s="22">
        <v>50</v>
      </c>
      <c r="J26" s="21" t="s">
        <v>144</v>
      </c>
      <c r="K26" s="23">
        <v>750000</v>
      </c>
      <c r="M26" s="7"/>
    </row>
    <row r="27" spans="1:13" x14ac:dyDescent="0.25">
      <c r="A27" s="17">
        <f>+IF(B27="","",SUBTOTAL(3,$B$7:B27))</f>
        <v>21</v>
      </c>
      <c r="B27" s="18" t="s">
        <v>98</v>
      </c>
      <c r="C27" s="19">
        <v>45811</v>
      </c>
      <c r="D27" s="20" t="s">
        <v>145</v>
      </c>
      <c r="E27" s="18" t="s">
        <v>1010</v>
      </c>
      <c r="F27" s="21">
        <v>303018986</v>
      </c>
      <c r="G27" s="21">
        <v>3330225</v>
      </c>
      <c r="H27" s="20" t="s">
        <v>146</v>
      </c>
      <c r="I27" s="22">
        <v>2000000</v>
      </c>
      <c r="J27" s="21" t="s">
        <v>101</v>
      </c>
      <c r="K27" s="23">
        <v>39600000</v>
      </c>
      <c r="M27" s="7"/>
    </row>
    <row r="28" spans="1:13" ht="30" x14ac:dyDescent="0.25">
      <c r="A28" s="17">
        <f>+IF(B28="","",SUBTOTAL(3,$B$7:B28))</f>
        <v>22</v>
      </c>
      <c r="B28" s="18" t="s">
        <v>93</v>
      </c>
      <c r="C28" s="19">
        <v>45811</v>
      </c>
      <c r="D28" s="20" t="s">
        <v>147</v>
      </c>
      <c r="E28" s="18" t="s">
        <v>97</v>
      </c>
      <c r="F28" s="21">
        <v>304909478</v>
      </c>
      <c r="G28" s="21" t="s">
        <v>148</v>
      </c>
      <c r="H28" s="20" t="s">
        <v>149</v>
      </c>
      <c r="I28" s="22">
        <v>1</v>
      </c>
      <c r="J28" s="21" t="s">
        <v>97</v>
      </c>
      <c r="K28" s="23">
        <v>743525.44</v>
      </c>
      <c r="M28" s="7"/>
    </row>
    <row r="29" spans="1:13" x14ac:dyDescent="0.25">
      <c r="A29" s="17">
        <f>+IF(B29="","",SUBTOTAL(3,$B$7:B29))</f>
        <v>23</v>
      </c>
      <c r="B29" s="18" t="s">
        <v>93</v>
      </c>
      <c r="C29" s="19">
        <v>45819</v>
      </c>
      <c r="D29" s="20" t="s">
        <v>150</v>
      </c>
      <c r="E29" s="18" t="s">
        <v>97</v>
      </c>
      <c r="F29" s="21">
        <v>308128545</v>
      </c>
      <c r="G29" s="21">
        <v>1</v>
      </c>
      <c r="H29" s="20" t="s">
        <v>151</v>
      </c>
      <c r="I29" s="22">
        <v>1</v>
      </c>
      <c r="J29" s="21" t="s">
        <v>97</v>
      </c>
      <c r="K29" s="23">
        <v>375000</v>
      </c>
      <c r="M29" s="7"/>
    </row>
    <row r="30" spans="1:13" x14ac:dyDescent="0.25">
      <c r="A30" s="17">
        <f>+IF(B30="","",SUBTOTAL(3,$B$7:B30))</f>
        <v>24</v>
      </c>
      <c r="B30" s="18" t="s">
        <v>116</v>
      </c>
      <c r="C30" s="19">
        <v>45831</v>
      </c>
      <c r="D30" s="20" t="s">
        <v>152</v>
      </c>
      <c r="E30" s="18" t="s">
        <v>1010</v>
      </c>
      <c r="F30" s="21">
        <v>40210702710011</v>
      </c>
      <c r="G30" s="21">
        <v>3390014</v>
      </c>
      <c r="H30" s="20" t="s">
        <v>153</v>
      </c>
      <c r="I30" s="22">
        <v>1</v>
      </c>
      <c r="J30" s="21" t="s">
        <v>101</v>
      </c>
      <c r="K30" s="23">
        <v>4990000</v>
      </c>
      <c r="M30" s="7"/>
    </row>
    <row r="31" spans="1:13" x14ac:dyDescent="0.25">
      <c r="A31" s="17">
        <f>+IF(B31="","",SUBTOTAL(3,$B$7:B31))</f>
        <v>25</v>
      </c>
      <c r="B31" s="18" t="s">
        <v>93</v>
      </c>
      <c r="C31" s="19">
        <v>45831</v>
      </c>
      <c r="D31" s="20" t="s">
        <v>107</v>
      </c>
      <c r="E31" s="18" t="s">
        <v>1010</v>
      </c>
      <c r="F31" s="21">
        <v>309676537</v>
      </c>
      <c r="G31" s="21" t="s">
        <v>154</v>
      </c>
      <c r="H31" s="20" t="s">
        <v>109</v>
      </c>
      <c r="I31" s="22">
        <v>60</v>
      </c>
      <c r="J31" s="21" t="s">
        <v>110</v>
      </c>
      <c r="K31" s="23">
        <v>744000</v>
      </c>
      <c r="L31" s="1"/>
      <c r="M31" s="7"/>
    </row>
    <row r="32" spans="1:13" ht="30" x14ac:dyDescent="0.25">
      <c r="A32" s="17">
        <f>+IF(B32="","",SUBTOTAL(3,$B$7:B32))</f>
        <v>26</v>
      </c>
      <c r="B32" s="18" t="s">
        <v>93</v>
      </c>
      <c r="C32" s="19">
        <v>45859</v>
      </c>
      <c r="D32" s="20" t="s">
        <v>155</v>
      </c>
      <c r="E32" s="18" t="s">
        <v>97</v>
      </c>
      <c r="F32" s="21">
        <v>200462568</v>
      </c>
      <c r="G32" s="21" t="s">
        <v>156</v>
      </c>
      <c r="H32" s="20" t="s">
        <v>151</v>
      </c>
      <c r="I32" s="22">
        <v>1</v>
      </c>
      <c r="J32" s="21" t="s">
        <v>97</v>
      </c>
      <c r="K32" s="23">
        <v>300000</v>
      </c>
      <c r="M32" s="7"/>
    </row>
    <row r="33" spans="1:13" ht="45" x14ac:dyDescent="0.25">
      <c r="A33" s="17">
        <f>+IF(B33="","",SUBTOTAL(3,$B$7:B33))</f>
        <v>27</v>
      </c>
      <c r="B33" s="18" t="s">
        <v>116</v>
      </c>
      <c r="C33" s="19">
        <v>45873</v>
      </c>
      <c r="D33" s="20" t="s">
        <v>157</v>
      </c>
      <c r="E33" s="18" t="s">
        <v>97</v>
      </c>
      <c r="F33" s="21">
        <v>32410750160034</v>
      </c>
      <c r="G33" s="21">
        <v>3513683</v>
      </c>
      <c r="H33" s="20" t="s">
        <v>158</v>
      </c>
      <c r="I33" s="22">
        <v>1</v>
      </c>
      <c r="J33" s="21" t="s">
        <v>101</v>
      </c>
      <c r="K33" s="23">
        <v>10199999</v>
      </c>
      <c r="M33" s="7"/>
    </row>
    <row r="34" spans="1:13" x14ac:dyDescent="0.25">
      <c r="A34" s="17">
        <f>+IF(B34="","",SUBTOTAL(3,$B$7:B34))</f>
        <v>28</v>
      </c>
      <c r="B34" s="18" t="s">
        <v>93</v>
      </c>
      <c r="C34" s="19">
        <v>45880</v>
      </c>
      <c r="D34" s="20" t="s">
        <v>159</v>
      </c>
      <c r="E34" s="18" t="s">
        <v>97</v>
      </c>
      <c r="F34" s="21">
        <v>305519170</v>
      </c>
      <c r="G34" s="21">
        <v>33</v>
      </c>
      <c r="H34" s="20" t="s">
        <v>160</v>
      </c>
      <c r="I34" s="22">
        <v>1</v>
      </c>
      <c r="J34" s="21" t="s">
        <v>97</v>
      </c>
      <c r="K34" s="23">
        <v>5530400</v>
      </c>
      <c r="M34" s="7"/>
    </row>
    <row r="35" spans="1:13" x14ac:dyDescent="0.25">
      <c r="A35" s="17">
        <f>+IF(B35="","",SUBTOTAL(3,$B$7:B35))</f>
        <v>29</v>
      </c>
      <c r="B35" s="18" t="s">
        <v>93</v>
      </c>
      <c r="C35" s="19">
        <v>45887</v>
      </c>
      <c r="D35" s="20" t="s">
        <v>107</v>
      </c>
      <c r="E35" s="18" t="s">
        <v>1010</v>
      </c>
      <c r="F35" s="21">
        <v>309676537</v>
      </c>
      <c r="G35" s="21" t="s">
        <v>161</v>
      </c>
      <c r="H35" s="20" t="s">
        <v>109</v>
      </c>
      <c r="I35" s="22">
        <v>60</v>
      </c>
      <c r="J35" s="21" t="s">
        <v>110</v>
      </c>
      <c r="K35" s="23">
        <v>744000</v>
      </c>
      <c r="M35" s="7"/>
    </row>
    <row r="36" spans="1:13" x14ac:dyDescent="0.25">
      <c r="A36" s="17">
        <f>+IF(B36="","",SUBTOTAL(3,$B$7:B36))</f>
        <v>30</v>
      </c>
      <c r="B36" s="18" t="s">
        <v>116</v>
      </c>
      <c r="C36" s="19">
        <v>45896</v>
      </c>
      <c r="D36" s="20" t="s">
        <v>162</v>
      </c>
      <c r="E36" s="18" t="s">
        <v>97</v>
      </c>
      <c r="F36" s="21">
        <v>303925451</v>
      </c>
      <c r="G36" s="21">
        <v>3614751</v>
      </c>
      <c r="H36" s="20" t="s">
        <v>163</v>
      </c>
      <c r="I36" s="22">
        <v>1</v>
      </c>
      <c r="J36" s="21" t="s">
        <v>101</v>
      </c>
      <c r="K36" s="23">
        <v>4100000</v>
      </c>
      <c r="M36" s="7"/>
    </row>
    <row r="37" spans="1:13" ht="30" x14ac:dyDescent="0.25">
      <c r="A37" s="17">
        <f>+IF(B37="","",SUBTOTAL(3,$B$7:B37))</f>
        <v>31</v>
      </c>
      <c r="B37" s="18" t="s">
        <v>116</v>
      </c>
      <c r="C37" s="19">
        <v>45924</v>
      </c>
      <c r="D37" s="20" t="s">
        <v>164</v>
      </c>
      <c r="E37" s="18" t="s">
        <v>1010</v>
      </c>
      <c r="F37" s="21">
        <v>51804036140044</v>
      </c>
      <c r="G37" s="21">
        <v>3699319</v>
      </c>
      <c r="H37" s="20" t="s">
        <v>165</v>
      </c>
      <c r="I37" s="22">
        <v>2000</v>
      </c>
      <c r="J37" s="21" t="s">
        <v>101</v>
      </c>
      <c r="K37" s="23">
        <v>2376000</v>
      </c>
      <c r="M37" s="7"/>
    </row>
    <row r="38" spans="1:13" x14ac:dyDescent="0.25">
      <c r="A38" s="17">
        <f>+IF(B38="","",SUBTOTAL(3,$B$7:B38))</f>
        <v>32</v>
      </c>
      <c r="B38" s="18" t="s">
        <v>166</v>
      </c>
      <c r="C38" s="19">
        <v>45932</v>
      </c>
      <c r="D38" s="20" t="s">
        <v>167</v>
      </c>
      <c r="E38" s="18" t="s">
        <v>1010</v>
      </c>
      <c r="F38" s="21">
        <v>305999636</v>
      </c>
      <c r="G38" s="21">
        <v>306413</v>
      </c>
      <c r="H38" s="20" t="s">
        <v>168</v>
      </c>
      <c r="I38" s="22">
        <v>50</v>
      </c>
      <c r="J38" s="21" t="s">
        <v>101</v>
      </c>
      <c r="K38" s="23">
        <v>675000</v>
      </c>
      <c r="M38" s="7"/>
    </row>
    <row r="39" spans="1:13" x14ac:dyDescent="0.25">
      <c r="A39" s="17">
        <f>+IF(B39="","",SUBTOTAL(3,$B$7:B39))</f>
        <v>33</v>
      </c>
      <c r="B39" s="18" t="s">
        <v>166</v>
      </c>
      <c r="C39" s="19">
        <v>45932</v>
      </c>
      <c r="D39" s="20" t="s">
        <v>167</v>
      </c>
      <c r="E39" s="18" t="s">
        <v>1010</v>
      </c>
      <c r="F39" s="21">
        <v>305999636</v>
      </c>
      <c r="G39" s="21">
        <v>306413</v>
      </c>
      <c r="H39" s="20" t="s">
        <v>169</v>
      </c>
      <c r="I39" s="22">
        <v>10</v>
      </c>
      <c r="J39" s="21" t="s">
        <v>101</v>
      </c>
      <c r="K39" s="23">
        <v>19500</v>
      </c>
      <c r="M39" s="7"/>
    </row>
    <row r="40" spans="1:13" x14ac:dyDescent="0.25">
      <c r="A40" s="17">
        <f>+IF(B40="","",SUBTOTAL(3,$B$7:B40))</f>
        <v>34</v>
      </c>
      <c r="B40" s="18" t="s">
        <v>166</v>
      </c>
      <c r="C40" s="19">
        <v>45932</v>
      </c>
      <c r="D40" s="20" t="s">
        <v>167</v>
      </c>
      <c r="E40" s="18" t="s">
        <v>1010</v>
      </c>
      <c r="F40" s="21">
        <v>305999636</v>
      </c>
      <c r="G40" s="21">
        <v>306413</v>
      </c>
      <c r="H40" s="20" t="s">
        <v>170</v>
      </c>
      <c r="I40" s="22">
        <v>1000</v>
      </c>
      <c r="J40" s="21" t="s">
        <v>101</v>
      </c>
      <c r="K40" s="23">
        <v>1710000</v>
      </c>
      <c r="M40" s="7"/>
    </row>
    <row r="41" spans="1:13" x14ac:dyDescent="0.25">
      <c r="A41" s="17">
        <f>+IF(B41="","",SUBTOTAL(3,$B$7:B41))</f>
        <v>35</v>
      </c>
      <c r="B41" s="18" t="s">
        <v>166</v>
      </c>
      <c r="C41" s="19">
        <v>45932</v>
      </c>
      <c r="D41" s="20" t="s">
        <v>167</v>
      </c>
      <c r="E41" s="18" t="s">
        <v>1010</v>
      </c>
      <c r="F41" s="21">
        <v>305999636</v>
      </c>
      <c r="G41" s="21">
        <v>306413</v>
      </c>
      <c r="H41" s="20" t="s">
        <v>171</v>
      </c>
      <c r="I41" s="22">
        <v>1000</v>
      </c>
      <c r="J41" s="21" t="s">
        <v>101</v>
      </c>
      <c r="K41" s="23">
        <v>960000</v>
      </c>
      <c r="M41" s="7"/>
    </row>
    <row r="42" spans="1:13" x14ac:dyDescent="0.25">
      <c r="A42" s="17">
        <f>+IF(B42="","",SUBTOTAL(3,$B$7:B42))</f>
        <v>36</v>
      </c>
      <c r="B42" s="18" t="s">
        <v>116</v>
      </c>
      <c r="C42" s="19">
        <v>45938</v>
      </c>
      <c r="D42" s="20" t="s">
        <v>172</v>
      </c>
      <c r="E42" s="18" t="s">
        <v>1010</v>
      </c>
      <c r="F42" s="21">
        <v>311882574</v>
      </c>
      <c r="G42" s="21">
        <v>3737851</v>
      </c>
      <c r="H42" s="20" t="s">
        <v>173</v>
      </c>
      <c r="I42" s="22">
        <v>10</v>
      </c>
      <c r="J42" s="21" t="s">
        <v>101</v>
      </c>
      <c r="K42" s="23">
        <v>1280000.1000000001</v>
      </c>
      <c r="M42" s="7"/>
    </row>
    <row r="43" spans="1:13" x14ac:dyDescent="0.25">
      <c r="A43" s="17">
        <f>+IF(B43="","",SUBTOTAL(3,$B$7:B43))</f>
        <v>37</v>
      </c>
      <c r="B43" s="18" t="s">
        <v>93</v>
      </c>
      <c r="C43" s="19">
        <v>45932</v>
      </c>
      <c r="D43" s="20" t="s">
        <v>102</v>
      </c>
      <c r="E43" s="18" t="s">
        <v>1010</v>
      </c>
      <c r="F43" s="21">
        <v>200833833</v>
      </c>
      <c r="G43" s="21">
        <v>270</v>
      </c>
      <c r="H43" s="20" t="s">
        <v>103</v>
      </c>
      <c r="I43" s="22">
        <v>600</v>
      </c>
      <c r="J43" s="21" t="s">
        <v>101</v>
      </c>
      <c r="K43" s="23">
        <v>2500000</v>
      </c>
      <c r="M43" s="7"/>
    </row>
    <row r="44" spans="1:13" x14ac:dyDescent="0.25">
      <c r="A44" s="17">
        <f>+IF(B44="","",SUBTOTAL(3,$B$7:B44))</f>
        <v>38</v>
      </c>
      <c r="B44" s="18" t="s">
        <v>116</v>
      </c>
      <c r="C44" s="19">
        <v>45939</v>
      </c>
      <c r="D44" s="20" t="s">
        <v>174</v>
      </c>
      <c r="E44" s="18" t="s">
        <v>1010</v>
      </c>
      <c r="F44" s="21">
        <v>52805026860020</v>
      </c>
      <c r="G44" s="21">
        <v>3740437</v>
      </c>
      <c r="H44" s="20" t="s">
        <v>175</v>
      </c>
      <c r="I44" s="22">
        <v>1</v>
      </c>
      <c r="J44" s="21" t="s">
        <v>176</v>
      </c>
      <c r="K44" s="23">
        <v>170000</v>
      </c>
      <c r="M44" s="7"/>
    </row>
    <row r="45" spans="1:13" x14ac:dyDescent="0.25">
      <c r="A45" s="17">
        <f>+IF(B45="","",SUBTOTAL(3,$B$7:B45))</f>
        <v>39</v>
      </c>
      <c r="B45" s="18" t="s">
        <v>116</v>
      </c>
      <c r="C45" s="19">
        <v>45939</v>
      </c>
      <c r="D45" s="20" t="s">
        <v>177</v>
      </c>
      <c r="E45" s="18" t="s">
        <v>1010</v>
      </c>
      <c r="F45" s="21">
        <v>311883938</v>
      </c>
      <c r="G45" s="21">
        <v>3740413</v>
      </c>
      <c r="H45" s="20" t="s">
        <v>178</v>
      </c>
      <c r="I45" s="22">
        <v>85</v>
      </c>
      <c r="J45" s="21" t="s">
        <v>101</v>
      </c>
      <c r="K45" s="23">
        <v>2635000</v>
      </c>
      <c r="M45" s="7"/>
    </row>
    <row r="46" spans="1:13" ht="30" x14ac:dyDescent="0.25">
      <c r="A46" s="17">
        <f>+IF(B46="","",SUBTOTAL(3,$B$7:B46))</f>
        <v>40</v>
      </c>
      <c r="B46" s="18" t="s">
        <v>116</v>
      </c>
      <c r="C46" s="19">
        <v>45939</v>
      </c>
      <c r="D46" s="20" t="s">
        <v>179</v>
      </c>
      <c r="E46" s="18" t="s">
        <v>1010</v>
      </c>
      <c r="F46" s="21">
        <v>32001901280055</v>
      </c>
      <c r="G46" s="21">
        <v>3740392</v>
      </c>
      <c r="H46" s="20" t="s">
        <v>180</v>
      </c>
      <c r="I46" s="22">
        <v>20</v>
      </c>
      <c r="J46" s="21" t="s">
        <v>101</v>
      </c>
      <c r="K46" s="23">
        <v>499980</v>
      </c>
      <c r="M46" s="7"/>
    </row>
    <row r="47" spans="1:13" x14ac:dyDescent="0.25">
      <c r="A47" s="17">
        <f>+IF(B47="","",SUBTOTAL(3,$B$7:B47))</f>
        <v>41</v>
      </c>
      <c r="B47" s="18" t="s">
        <v>116</v>
      </c>
      <c r="C47" s="19">
        <v>45943</v>
      </c>
      <c r="D47" s="20" t="s">
        <v>174</v>
      </c>
      <c r="E47" s="18" t="s">
        <v>1010</v>
      </c>
      <c r="F47" s="21">
        <v>52805026860020</v>
      </c>
      <c r="G47" s="21">
        <v>3752238</v>
      </c>
      <c r="H47" s="20" t="s">
        <v>181</v>
      </c>
      <c r="I47" s="22">
        <v>20</v>
      </c>
      <c r="J47" s="21" t="s">
        <v>101</v>
      </c>
      <c r="K47" s="23">
        <v>240000</v>
      </c>
      <c r="M47" s="7"/>
    </row>
    <row r="48" spans="1:13" x14ac:dyDescent="0.25">
      <c r="A48" s="17">
        <f>+IF(B48="","",SUBTOTAL(3,$B$7:B48))</f>
        <v>42</v>
      </c>
      <c r="B48" s="18" t="s">
        <v>116</v>
      </c>
      <c r="C48" s="19">
        <v>45943</v>
      </c>
      <c r="D48" s="20" t="s">
        <v>138</v>
      </c>
      <c r="E48" s="18" t="s">
        <v>1010</v>
      </c>
      <c r="F48" s="21">
        <v>205247459</v>
      </c>
      <c r="G48" s="21">
        <v>3751939</v>
      </c>
      <c r="H48" s="20" t="s">
        <v>182</v>
      </c>
      <c r="I48" s="22">
        <v>100</v>
      </c>
      <c r="J48" s="21" t="s">
        <v>183</v>
      </c>
      <c r="K48" s="23">
        <v>1310400</v>
      </c>
      <c r="M48" s="7"/>
    </row>
    <row r="49" spans="1:13" x14ac:dyDescent="0.25">
      <c r="A49" s="17">
        <f>+IF(B49="","",SUBTOTAL(3,$B$7:B49))</f>
        <v>43</v>
      </c>
      <c r="B49" s="18" t="s">
        <v>116</v>
      </c>
      <c r="C49" s="19">
        <v>45943</v>
      </c>
      <c r="D49" s="20" t="s">
        <v>184</v>
      </c>
      <c r="E49" s="18" t="s">
        <v>1010</v>
      </c>
      <c r="F49" s="21">
        <v>307049479</v>
      </c>
      <c r="G49" s="21">
        <v>3749305</v>
      </c>
      <c r="H49" s="20" t="s">
        <v>185</v>
      </c>
      <c r="I49" s="22">
        <v>50</v>
      </c>
      <c r="J49" s="21" t="s">
        <v>101</v>
      </c>
      <c r="K49" s="23">
        <v>400000</v>
      </c>
      <c r="M49" s="7"/>
    </row>
    <row r="50" spans="1:13" x14ac:dyDescent="0.25">
      <c r="A50" s="17">
        <f>+IF(B50="","",SUBTOTAL(3,$B$7:B50))</f>
        <v>44</v>
      </c>
      <c r="B50" s="18" t="s">
        <v>116</v>
      </c>
      <c r="C50" s="19">
        <v>45945</v>
      </c>
      <c r="D50" s="20" t="s">
        <v>186</v>
      </c>
      <c r="E50" s="18" t="s">
        <v>1010</v>
      </c>
      <c r="F50" s="21">
        <v>311883803</v>
      </c>
      <c r="G50" s="21">
        <v>3758561</v>
      </c>
      <c r="H50" s="20" t="s">
        <v>129</v>
      </c>
      <c r="I50" s="22">
        <v>300</v>
      </c>
      <c r="J50" s="21" t="s">
        <v>101</v>
      </c>
      <c r="K50" s="23">
        <v>4140000</v>
      </c>
      <c r="M50" s="7"/>
    </row>
    <row r="51" spans="1:13" x14ac:dyDescent="0.25">
      <c r="A51" s="17">
        <f>+IF(B51="","",SUBTOTAL(3,$B$7:B51))</f>
        <v>45</v>
      </c>
      <c r="B51" s="18" t="s">
        <v>116</v>
      </c>
      <c r="C51" s="19">
        <v>45947</v>
      </c>
      <c r="D51" s="20" t="s">
        <v>187</v>
      </c>
      <c r="E51" s="18" t="s">
        <v>1010</v>
      </c>
      <c r="F51" s="21">
        <v>205040829</v>
      </c>
      <c r="G51" s="21">
        <v>3770513</v>
      </c>
      <c r="H51" s="20" t="s">
        <v>188</v>
      </c>
      <c r="I51" s="22">
        <v>150</v>
      </c>
      <c r="J51" s="21" t="s">
        <v>140</v>
      </c>
      <c r="K51" s="23">
        <v>6150000</v>
      </c>
      <c r="M51" s="7"/>
    </row>
    <row r="52" spans="1:13" x14ac:dyDescent="0.25">
      <c r="A52" s="17">
        <f>+IF(B52="","",SUBTOTAL(3,$B$7:B52))</f>
        <v>46</v>
      </c>
      <c r="B52" s="18" t="s">
        <v>116</v>
      </c>
      <c r="C52" s="19">
        <v>45950</v>
      </c>
      <c r="D52" s="20" t="s">
        <v>172</v>
      </c>
      <c r="E52" s="18" t="s">
        <v>1010</v>
      </c>
      <c r="F52" s="21">
        <v>311882574</v>
      </c>
      <c r="G52" s="21">
        <v>3771697</v>
      </c>
      <c r="H52" s="20" t="s">
        <v>189</v>
      </c>
      <c r="I52" s="22">
        <v>5</v>
      </c>
      <c r="J52" s="21" t="s">
        <v>101</v>
      </c>
      <c r="K52" s="23">
        <v>200000</v>
      </c>
      <c r="M52" s="7"/>
    </row>
    <row r="53" spans="1:13" x14ac:dyDescent="0.25">
      <c r="A53" s="17">
        <f>+IF(B53="","",SUBTOTAL(3,$B$7:B53))</f>
        <v>47</v>
      </c>
      <c r="B53" s="18" t="s">
        <v>116</v>
      </c>
      <c r="C53" s="19">
        <v>45950</v>
      </c>
      <c r="D53" s="20" t="s">
        <v>177</v>
      </c>
      <c r="E53" s="18" t="s">
        <v>1010</v>
      </c>
      <c r="F53" s="21">
        <v>311883938</v>
      </c>
      <c r="G53" s="21">
        <v>3771715</v>
      </c>
      <c r="H53" s="20" t="s">
        <v>190</v>
      </c>
      <c r="I53" s="22">
        <v>50</v>
      </c>
      <c r="J53" s="21" t="s">
        <v>101</v>
      </c>
      <c r="K53" s="23">
        <v>1300000</v>
      </c>
      <c r="M53" s="7"/>
    </row>
    <row r="54" spans="1:13" ht="30" x14ac:dyDescent="0.25">
      <c r="A54" s="17">
        <f>+IF(B54="","",SUBTOTAL(3,$B$7:B54))</f>
        <v>48</v>
      </c>
      <c r="B54" s="18" t="s">
        <v>116</v>
      </c>
      <c r="C54" s="19">
        <v>45950</v>
      </c>
      <c r="D54" s="20" t="s">
        <v>191</v>
      </c>
      <c r="E54" s="18" t="s">
        <v>97</v>
      </c>
      <c r="F54" s="21">
        <v>302606097</v>
      </c>
      <c r="G54" s="21">
        <v>3774225</v>
      </c>
      <c r="H54" s="20" t="s">
        <v>192</v>
      </c>
      <c r="I54" s="22">
        <v>1</v>
      </c>
      <c r="J54" s="21" t="s">
        <v>97</v>
      </c>
      <c r="K54" s="23">
        <v>1850000</v>
      </c>
      <c r="M54" s="7"/>
    </row>
    <row r="55" spans="1:13" x14ac:dyDescent="0.25">
      <c r="A55" s="17">
        <f>+IF(B55="","",SUBTOTAL(3,$B$7:B55))</f>
        <v>49</v>
      </c>
      <c r="B55" s="18" t="s">
        <v>116</v>
      </c>
      <c r="C55" s="19">
        <v>45951</v>
      </c>
      <c r="D55" s="20" t="s">
        <v>193</v>
      </c>
      <c r="E55" s="18" t="s">
        <v>1010</v>
      </c>
      <c r="F55" s="21">
        <v>303055063</v>
      </c>
      <c r="G55" s="21">
        <v>3777855</v>
      </c>
      <c r="H55" s="20" t="s">
        <v>194</v>
      </c>
      <c r="I55" s="22">
        <v>100</v>
      </c>
      <c r="J55" s="21" t="s">
        <v>101</v>
      </c>
      <c r="K55" s="23">
        <v>1400000</v>
      </c>
      <c r="M55" s="7"/>
    </row>
    <row r="56" spans="1:13" x14ac:dyDescent="0.25">
      <c r="A56" s="17">
        <f>+IF(B56="","",SUBTOTAL(3,$B$7:B56))</f>
        <v>50</v>
      </c>
      <c r="B56" s="18" t="s">
        <v>116</v>
      </c>
      <c r="C56" s="19">
        <v>45951</v>
      </c>
      <c r="D56" s="20" t="s">
        <v>195</v>
      </c>
      <c r="E56" s="18" t="s">
        <v>1010</v>
      </c>
      <c r="F56" s="21">
        <v>62707006590026</v>
      </c>
      <c r="G56" s="21">
        <v>3777878</v>
      </c>
      <c r="H56" s="20" t="s">
        <v>196</v>
      </c>
      <c r="I56" s="22">
        <v>40</v>
      </c>
      <c r="J56" s="21" t="s">
        <v>101</v>
      </c>
      <c r="K56" s="23">
        <v>323960</v>
      </c>
      <c r="M56" s="7"/>
    </row>
    <row r="57" spans="1:13" x14ac:dyDescent="0.25">
      <c r="A57" s="17">
        <f>+IF(B57="","",SUBTOTAL(3,$B$7:B57))</f>
        <v>51</v>
      </c>
      <c r="B57" s="18" t="s">
        <v>116</v>
      </c>
      <c r="C57" s="19">
        <v>45951</v>
      </c>
      <c r="D57" s="20" t="s">
        <v>197</v>
      </c>
      <c r="E57" s="18" t="s">
        <v>1010</v>
      </c>
      <c r="F57" s="21">
        <v>309528015</v>
      </c>
      <c r="G57" s="21">
        <v>3777942</v>
      </c>
      <c r="H57" s="20" t="s">
        <v>198</v>
      </c>
      <c r="I57" s="22">
        <v>100</v>
      </c>
      <c r="J57" s="21" t="s">
        <v>140</v>
      </c>
      <c r="K57" s="23">
        <v>201100</v>
      </c>
      <c r="M57" s="7"/>
    </row>
    <row r="58" spans="1:13" x14ac:dyDescent="0.25">
      <c r="A58" s="17">
        <f>+IF(B58="","",SUBTOTAL(3,$B$7:B58))</f>
        <v>52</v>
      </c>
      <c r="B58" s="18" t="s">
        <v>116</v>
      </c>
      <c r="C58" s="19">
        <v>45951</v>
      </c>
      <c r="D58" s="20" t="s">
        <v>199</v>
      </c>
      <c r="E58" s="18" t="s">
        <v>1010</v>
      </c>
      <c r="F58" s="21">
        <v>311705215</v>
      </c>
      <c r="G58" s="21">
        <v>3777806</v>
      </c>
      <c r="H58" s="20" t="s">
        <v>200</v>
      </c>
      <c r="I58" s="22">
        <v>70</v>
      </c>
      <c r="J58" s="21" t="s">
        <v>101</v>
      </c>
      <c r="K58" s="23">
        <v>1344000.7</v>
      </c>
      <c r="M58" s="7"/>
    </row>
    <row r="59" spans="1:13" x14ac:dyDescent="0.25">
      <c r="A59" s="17">
        <f>+IF(B59="","",SUBTOTAL(3,$B$7:B59))</f>
        <v>53</v>
      </c>
      <c r="B59" s="18" t="s">
        <v>116</v>
      </c>
      <c r="C59" s="19">
        <v>45952</v>
      </c>
      <c r="D59" s="20" t="s">
        <v>201</v>
      </c>
      <c r="E59" s="18" t="s">
        <v>1010</v>
      </c>
      <c r="F59" s="21">
        <v>312261627</v>
      </c>
      <c r="G59" s="21">
        <v>3782557</v>
      </c>
      <c r="H59" s="20" t="s">
        <v>202</v>
      </c>
      <c r="I59" s="22">
        <v>200</v>
      </c>
      <c r="J59" s="21" t="s">
        <v>101</v>
      </c>
      <c r="K59" s="23">
        <v>660000</v>
      </c>
      <c r="M59" s="7"/>
    </row>
    <row r="60" spans="1:13" x14ac:dyDescent="0.25">
      <c r="A60" s="17">
        <f>+IF(B60="","",SUBTOTAL(3,$B$7:B60))</f>
        <v>54</v>
      </c>
      <c r="B60" s="18" t="s">
        <v>116</v>
      </c>
      <c r="C60" s="19">
        <v>45952</v>
      </c>
      <c r="D60" s="20" t="s">
        <v>203</v>
      </c>
      <c r="E60" s="18" t="s">
        <v>1010</v>
      </c>
      <c r="F60" s="21">
        <v>301837744</v>
      </c>
      <c r="G60" s="21">
        <v>3782573</v>
      </c>
      <c r="H60" s="20" t="s">
        <v>204</v>
      </c>
      <c r="I60" s="22">
        <v>100</v>
      </c>
      <c r="J60" s="21" t="s">
        <v>101</v>
      </c>
      <c r="K60" s="23">
        <v>989000</v>
      </c>
      <c r="M60" s="7"/>
    </row>
    <row r="61" spans="1:13" x14ac:dyDescent="0.25">
      <c r="A61" s="17">
        <f>+IF(B61="","",SUBTOTAL(3,$B$7:B61))</f>
        <v>55</v>
      </c>
      <c r="B61" s="18" t="s">
        <v>116</v>
      </c>
      <c r="C61" s="19">
        <v>45952</v>
      </c>
      <c r="D61" s="20" t="s">
        <v>205</v>
      </c>
      <c r="E61" s="18" t="s">
        <v>1010</v>
      </c>
      <c r="F61" s="21">
        <v>308193245</v>
      </c>
      <c r="G61" s="21">
        <v>3779833</v>
      </c>
      <c r="H61" s="20" t="s">
        <v>206</v>
      </c>
      <c r="I61" s="22">
        <v>70</v>
      </c>
      <c r="J61" s="21" t="s">
        <v>101</v>
      </c>
      <c r="K61" s="23">
        <v>280000</v>
      </c>
      <c r="M61" s="7"/>
    </row>
    <row r="62" spans="1:13" x14ac:dyDescent="0.25">
      <c r="A62" s="17">
        <f>+IF(B62="","",SUBTOTAL(3,$B$7:B62))</f>
        <v>56</v>
      </c>
      <c r="B62" s="18" t="s">
        <v>116</v>
      </c>
      <c r="C62" s="19">
        <v>45953</v>
      </c>
      <c r="D62" s="20" t="s">
        <v>187</v>
      </c>
      <c r="E62" s="18" t="s">
        <v>1010</v>
      </c>
      <c r="F62" s="21">
        <v>205040829</v>
      </c>
      <c r="G62" s="21">
        <v>3785108</v>
      </c>
      <c r="H62" s="20" t="s">
        <v>207</v>
      </c>
      <c r="I62" s="22">
        <v>20</v>
      </c>
      <c r="J62" s="21" t="s">
        <v>140</v>
      </c>
      <c r="K62" s="23">
        <v>1700000</v>
      </c>
      <c r="M62" s="7"/>
    </row>
    <row r="63" spans="1:13" x14ac:dyDescent="0.25">
      <c r="A63" s="17">
        <f>+IF(B63="","",SUBTOTAL(3,$B$7:B63))</f>
        <v>57</v>
      </c>
      <c r="B63" s="18" t="s">
        <v>116</v>
      </c>
      <c r="C63" s="19">
        <v>45954</v>
      </c>
      <c r="D63" s="20" t="s">
        <v>197</v>
      </c>
      <c r="E63" s="18" t="s">
        <v>1010</v>
      </c>
      <c r="F63" s="21">
        <v>309528015</v>
      </c>
      <c r="G63" s="21">
        <v>3793210</v>
      </c>
      <c r="H63" s="20" t="s">
        <v>208</v>
      </c>
      <c r="I63" s="22">
        <v>100</v>
      </c>
      <c r="J63" s="21" t="s">
        <v>140</v>
      </c>
      <c r="K63" s="23">
        <v>314300</v>
      </c>
      <c r="M63" s="7"/>
    </row>
    <row r="64" spans="1:13" ht="45" x14ac:dyDescent="0.25">
      <c r="A64" s="17">
        <f>+IF(B64="","",SUBTOTAL(3,$B$7:B64))</f>
        <v>58</v>
      </c>
      <c r="B64" s="18" t="s">
        <v>116</v>
      </c>
      <c r="C64" s="19">
        <v>45957</v>
      </c>
      <c r="D64" s="20" t="s">
        <v>209</v>
      </c>
      <c r="E64" s="18" t="s">
        <v>97</v>
      </c>
      <c r="F64" s="21">
        <v>200838518</v>
      </c>
      <c r="G64" s="21">
        <v>3795405</v>
      </c>
      <c r="H64" s="20" t="s">
        <v>210</v>
      </c>
      <c r="I64" s="22">
        <v>2</v>
      </c>
      <c r="J64" s="21" t="s">
        <v>211</v>
      </c>
      <c r="K64" s="23">
        <v>173040</v>
      </c>
      <c r="M64" s="7"/>
    </row>
    <row r="65" spans="1:13" ht="45" x14ac:dyDescent="0.25">
      <c r="A65" s="17">
        <f>+IF(B65="","",SUBTOTAL(3,$B$7:B65))</f>
        <v>59</v>
      </c>
      <c r="B65" s="18" t="s">
        <v>116</v>
      </c>
      <c r="C65" s="19">
        <v>45957</v>
      </c>
      <c r="D65" s="20" t="s">
        <v>209</v>
      </c>
      <c r="E65" s="18" t="s">
        <v>97</v>
      </c>
      <c r="F65" s="21">
        <v>200838518</v>
      </c>
      <c r="G65" s="21">
        <v>3794709</v>
      </c>
      <c r="H65" s="20" t="s">
        <v>210</v>
      </c>
      <c r="I65" s="22">
        <v>65</v>
      </c>
      <c r="J65" s="21" t="s">
        <v>211</v>
      </c>
      <c r="K65" s="23">
        <v>3749200</v>
      </c>
      <c r="M65" s="7"/>
    </row>
    <row r="66" spans="1:13" x14ac:dyDescent="0.25">
      <c r="A66" s="17">
        <f>+IF(B66="","",SUBTOTAL(3,$B$7:B66))</f>
        <v>60</v>
      </c>
      <c r="B66" s="18" t="s">
        <v>116</v>
      </c>
      <c r="C66" s="19">
        <v>45957</v>
      </c>
      <c r="D66" s="20" t="s">
        <v>212</v>
      </c>
      <c r="E66" s="18" t="s">
        <v>1010</v>
      </c>
      <c r="F66" s="21">
        <v>307852525</v>
      </c>
      <c r="G66" s="21">
        <v>3794989</v>
      </c>
      <c r="H66" s="20" t="s">
        <v>118</v>
      </c>
      <c r="I66" s="22">
        <v>4</v>
      </c>
      <c r="J66" s="21" t="s">
        <v>101</v>
      </c>
      <c r="K66" s="23">
        <v>271920</v>
      </c>
      <c r="M66" s="7"/>
    </row>
    <row r="67" spans="1:13" x14ac:dyDescent="0.25">
      <c r="A67" s="17">
        <f>+IF(B67="","",SUBTOTAL(3,$B$7:B67))</f>
        <v>61</v>
      </c>
      <c r="B67" s="18" t="s">
        <v>116</v>
      </c>
      <c r="C67" s="19">
        <v>45961</v>
      </c>
      <c r="D67" s="20" t="s">
        <v>177</v>
      </c>
      <c r="E67" s="18" t="s">
        <v>1010</v>
      </c>
      <c r="F67" s="21">
        <v>311883938</v>
      </c>
      <c r="G67" s="21">
        <v>3813310</v>
      </c>
      <c r="H67" s="20" t="s">
        <v>213</v>
      </c>
      <c r="I67" s="22">
        <v>50</v>
      </c>
      <c r="J67" s="21" t="s">
        <v>101</v>
      </c>
      <c r="K67" s="23">
        <v>3400000</v>
      </c>
      <c r="M67" s="7"/>
    </row>
    <row r="68" spans="1:13" ht="30" x14ac:dyDescent="0.25">
      <c r="A68" s="17">
        <f>+IF(B68="","",SUBTOTAL(3,$B$7:B68))</f>
        <v>62</v>
      </c>
      <c r="B68" s="18" t="s">
        <v>116</v>
      </c>
      <c r="C68" s="19">
        <v>45961</v>
      </c>
      <c r="D68" s="20" t="s">
        <v>214</v>
      </c>
      <c r="E68" s="18" t="s">
        <v>97</v>
      </c>
      <c r="F68" s="21">
        <v>302781713</v>
      </c>
      <c r="G68" s="21">
        <v>3813663</v>
      </c>
      <c r="H68" s="20" t="s">
        <v>215</v>
      </c>
      <c r="I68" s="22">
        <v>1</v>
      </c>
      <c r="J68" s="21" t="s">
        <v>97</v>
      </c>
      <c r="K68" s="23">
        <v>9900000</v>
      </c>
      <c r="M68" s="7"/>
    </row>
    <row r="69" spans="1:13" ht="30" x14ac:dyDescent="0.25">
      <c r="A69" s="17">
        <f>+IF(B69="","",SUBTOTAL(3,$B$7:B69))</f>
        <v>63</v>
      </c>
      <c r="B69" s="18" t="s">
        <v>93</v>
      </c>
      <c r="C69" s="19">
        <v>45961</v>
      </c>
      <c r="D69" s="20" t="s">
        <v>216</v>
      </c>
      <c r="E69" s="18" t="s">
        <v>1010</v>
      </c>
      <c r="F69" s="21">
        <v>303410911</v>
      </c>
      <c r="G69" s="21">
        <v>21</v>
      </c>
      <c r="H69" s="20" t="s">
        <v>217</v>
      </c>
      <c r="I69" s="22">
        <v>4</v>
      </c>
      <c r="J69" s="21" t="s">
        <v>101</v>
      </c>
      <c r="K69" s="23">
        <v>1500000</v>
      </c>
      <c r="M69" s="7"/>
    </row>
    <row r="70" spans="1:13" ht="30" x14ac:dyDescent="0.25">
      <c r="A70" s="17">
        <f>+IF(B70="","",SUBTOTAL(3,$B$7:B70))</f>
        <v>64</v>
      </c>
      <c r="B70" s="18" t="s">
        <v>93</v>
      </c>
      <c r="C70" s="19">
        <v>45973</v>
      </c>
      <c r="D70" s="20" t="s">
        <v>218</v>
      </c>
      <c r="E70" s="18" t="s">
        <v>97</v>
      </c>
      <c r="F70" s="21">
        <v>304512474</v>
      </c>
      <c r="G70" s="21" t="s">
        <v>219</v>
      </c>
      <c r="H70" s="20" t="s">
        <v>220</v>
      </c>
      <c r="I70" s="22">
        <v>1</v>
      </c>
      <c r="J70" s="21" t="s">
        <v>97</v>
      </c>
      <c r="K70" s="23">
        <v>32000000</v>
      </c>
      <c r="M70" s="7"/>
    </row>
    <row r="71" spans="1:13" ht="45" x14ac:dyDescent="0.25">
      <c r="A71" s="17">
        <f>+IF(B71="","",SUBTOTAL(3,$B$7:B71))</f>
        <v>65</v>
      </c>
      <c r="B71" s="18" t="s">
        <v>93</v>
      </c>
      <c r="C71" s="19">
        <v>45973</v>
      </c>
      <c r="D71" s="20" t="s">
        <v>221</v>
      </c>
      <c r="E71" s="18" t="s">
        <v>97</v>
      </c>
      <c r="F71" s="21">
        <v>309635895</v>
      </c>
      <c r="G71" s="19">
        <v>37220</v>
      </c>
      <c r="H71" s="20" t="s">
        <v>222</v>
      </c>
      <c r="I71" s="22">
        <v>1</v>
      </c>
      <c r="J71" s="21" t="s">
        <v>97</v>
      </c>
      <c r="K71" s="23">
        <v>1671780809</v>
      </c>
      <c r="M71" s="7"/>
    </row>
    <row r="72" spans="1:13" ht="45" x14ac:dyDescent="0.25">
      <c r="A72" s="17">
        <f>+IF(B72="","",SUBTOTAL(3,$B$7:B72))</f>
        <v>66</v>
      </c>
      <c r="B72" s="18" t="s">
        <v>93</v>
      </c>
      <c r="C72" s="19">
        <v>45975</v>
      </c>
      <c r="D72" s="20" t="s">
        <v>223</v>
      </c>
      <c r="E72" s="18" t="s">
        <v>1010</v>
      </c>
      <c r="F72" s="21">
        <v>311884065</v>
      </c>
      <c r="G72" s="21">
        <v>58</v>
      </c>
      <c r="H72" s="20" t="s">
        <v>224</v>
      </c>
      <c r="I72" s="22">
        <v>948</v>
      </c>
      <c r="J72" s="18" t="s">
        <v>225</v>
      </c>
      <c r="K72" s="23">
        <v>141600000</v>
      </c>
      <c r="M72" s="7"/>
    </row>
    <row r="73" spans="1:13" x14ac:dyDescent="0.25">
      <c r="A73" s="17">
        <f>+IF(B73="","",SUBTOTAL(3,$B$7:B73))</f>
        <v>67</v>
      </c>
      <c r="B73" s="18" t="s">
        <v>98</v>
      </c>
      <c r="C73" s="19">
        <v>45985</v>
      </c>
      <c r="D73" s="20" t="s">
        <v>145</v>
      </c>
      <c r="E73" s="18" t="s">
        <v>1010</v>
      </c>
      <c r="F73" s="21">
        <v>303018986</v>
      </c>
      <c r="G73" s="21">
        <v>3885335</v>
      </c>
      <c r="H73" s="20" t="s">
        <v>226</v>
      </c>
      <c r="I73" s="22">
        <v>3000</v>
      </c>
      <c r="J73" s="21" t="s">
        <v>101</v>
      </c>
      <c r="K73" s="23">
        <v>1350000</v>
      </c>
      <c r="M73" s="7"/>
    </row>
    <row r="74" spans="1:13" x14ac:dyDescent="0.25">
      <c r="A74" s="17">
        <f>+IF(B74="","",SUBTOTAL(3,$B$7:B74))</f>
        <v>68</v>
      </c>
      <c r="B74" s="18" t="s">
        <v>116</v>
      </c>
      <c r="C74" s="19">
        <v>45985</v>
      </c>
      <c r="D74" s="20" t="s">
        <v>227</v>
      </c>
      <c r="E74" s="18" t="s">
        <v>1010</v>
      </c>
      <c r="F74" s="21">
        <v>306982910</v>
      </c>
      <c r="G74" s="21">
        <v>3883128</v>
      </c>
      <c r="H74" s="20" t="s">
        <v>228</v>
      </c>
      <c r="I74" s="22">
        <v>50</v>
      </c>
      <c r="J74" s="21" t="s">
        <v>144</v>
      </c>
      <c r="K74" s="23">
        <v>2923500</v>
      </c>
      <c r="M74" s="7"/>
    </row>
    <row r="75" spans="1:13" x14ac:dyDescent="0.25">
      <c r="A75" s="17">
        <f>+IF(B75="","",SUBTOTAL(3,$B$7:B75))</f>
        <v>69</v>
      </c>
      <c r="B75" s="18" t="s">
        <v>116</v>
      </c>
      <c r="C75" s="19">
        <v>45985</v>
      </c>
      <c r="D75" s="20" t="s">
        <v>227</v>
      </c>
      <c r="E75" s="18" t="s">
        <v>1010</v>
      </c>
      <c r="F75" s="21">
        <v>306982910</v>
      </c>
      <c r="G75" s="21">
        <v>3884055</v>
      </c>
      <c r="H75" s="20" t="s">
        <v>229</v>
      </c>
      <c r="I75" s="22">
        <v>20</v>
      </c>
      <c r="J75" s="21" t="s">
        <v>144</v>
      </c>
      <c r="K75" s="23">
        <v>649400</v>
      </c>
      <c r="M75" s="7"/>
    </row>
    <row r="76" spans="1:13" x14ac:dyDescent="0.25">
      <c r="A76" s="17">
        <f>+IF(B76="","",SUBTOTAL(3,$B$7:B76))</f>
        <v>70</v>
      </c>
      <c r="B76" s="18" t="s">
        <v>98</v>
      </c>
      <c r="C76" s="19">
        <v>45986</v>
      </c>
      <c r="D76" s="20" t="s">
        <v>230</v>
      </c>
      <c r="E76" s="18" t="s">
        <v>1010</v>
      </c>
      <c r="F76" s="21">
        <v>201143536</v>
      </c>
      <c r="G76" s="21">
        <v>3886746</v>
      </c>
      <c r="H76" s="20" t="s">
        <v>175</v>
      </c>
      <c r="I76" s="22">
        <v>1</v>
      </c>
      <c r="J76" s="21" t="s">
        <v>101</v>
      </c>
      <c r="K76" s="23">
        <v>170000</v>
      </c>
      <c r="M76" s="7"/>
    </row>
    <row r="77" spans="1:13" x14ac:dyDescent="0.25">
      <c r="A77" s="17">
        <f>+IF(B77="","",SUBTOTAL(3,$B$7:B77))</f>
        <v>71</v>
      </c>
      <c r="B77" s="18" t="s">
        <v>116</v>
      </c>
      <c r="C77" s="19">
        <v>45989</v>
      </c>
      <c r="D77" s="20" t="s">
        <v>231</v>
      </c>
      <c r="E77" s="18" t="s">
        <v>1010</v>
      </c>
      <c r="F77" s="21">
        <v>303397176</v>
      </c>
      <c r="G77" s="21">
        <v>3902493</v>
      </c>
      <c r="H77" s="20" t="s">
        <v>232</v>
      </c>
      <c r="I77" s="22">
        <v>16</v>
      </c>
      <c r="J77" s="21" t="s">
        <v>101</v>
      </c>
      <c r="K77" s="23">
        <v>1184000</v>
      </c>
      <c r="M77" s="7"/>
    </row>
    <row r="78" spans="1:13" x14ac:dyDescent="0.25">
      <c r="A78" s="17">
        <f>+IF(B78="","",SUBTOTAL(3,$B$7:B78))</f>
        <v>72</v>
      </c>
      <c r="B78" s="18" t="s">
        <v>93</v>
      </c>
      <c r="C78" s="19">
        <v>45989</v>
      </c>
      <c r="D78" s="20" t="s">
        <v>233</v>
      </c>
      <c r="E78" s="18" t="s">
        <v>97</v>
      </c>
      <c r="F78" s="21">
        <v>311666035</v>
      </c>
      <c r="G78" s="21" t="s">
        <v>234</v>
      </c>
      <c r="H78" s="20" t="s">
        <v>235</v>
      </c>
      <c r="I78" s="22">
        <v>1</v>
      </c>
      <c r="J78" s="21" t="s">
        <v>97</v>
      </c>
      <c r="K78" s="23">
        <v>17239000</v>
      </c>
      <c r="M78" s="7"/>
    </row>
    <row r="79" spans="1:13" ht="30" x14ac:dyDescent="0.25">
      <c r="A79" s="17">
        <f>+IF(B79="","",SUBTOTAL(3,$B$7:B79))</f>
        <v>73</v>
      </c>
      <c r="B79" s="18" t="s">
        <v>116</v>
      </c>
      <c r="C79" s="19">
        <v>45992</v>
      </c>
      <c r="D79" s="20" t="s">
        <v>236</v>
      </c>
      <c r="E79" s="18" t="s">
        <v>97</v>
      </c>
      <c r="F79" s="21">
        <v>310483122</v>
      </c>
      <c r="G79" s="21">
        <v>3905911</v>
      </c>
      <c r="H79" s="20" t="s">
        <v>237</v>
      </c>
      <c r="I79" s="22">
        <v>45</v>
      </c>
      <c r="J79" s="21" t="s">
        <v>101</v>
      </c>
      <c r="K79" s="23">
        <v>1215000</v>
      </c>
      <c r="M79" s="7"/>
    </row>
    <row r="80" spans="1:13" x14ac:dyDescent="0.25">
      <c r="A80" s="17">
        <f>+IF(B80="","",SUBTOTAL(3,$B$7:B80))</f>
        <v>74</v>
      </c>
      <c r="B80" s="18" t="s">
        <v>93</v>
      </c>
      <c r="C80" s="19">
        <v>45995</v>
      </c>
      <c r="D80" s="20" t="s">
        <v>107</v>
      </c>
      <c r="E80" s="18" t="s">
        <v>1010</v>
      </c>
      <c r="F80" s="21">
        <v>309676537</v>
      </c>
      <c r="G80" s="21" t="s">
        <v>238</v>
      </c>
      <c r="H80" s="20" t="s">
        <v>109</v>
      </c>
      <c r="I80" s="22">
        <v>60</v>
      </c>
      <c r="J80" s="21" t="s">
        <v>110</v>
      </c>
      <c r="K80" s="23">
        <v>744000</v>
      </c>
      <c r="M80" s="7"/>
    </row>
    <row r="81" spans="1:13" x14ac:dyDescent="0.25">
      <c r="A81" s="17">
        <f>+IF(B81="","",SUBTOTAL(3,$B$7:B81))</f>
        <v>75</v>
      </c>
      <c r="B81" s="18" t="s">
        <v>93</v>
      </c>
      <c r="C81" s="19">
        <v>46002</v>
      </c>
      <c r="D81" s="20" t="s">
        <v>239</v>
      </c>
      <c r="E81" s="18" t="s">
        <v>1010</v>
      </c>
      <c r="F81" s="21">
        <v>201348969</v>
      </c>
      <c r="G81" s="21" t="s">
        <v>240</v>
      </c>
      <c r="H81" s="20" t="s">
        <v>241</v>
      </c>
      <c r="I81" s="22">
        <v>1</v>
      </c>
      <c r="J81" s="21" t="s">
        <v>101</v>
      </c>
      <c r="K81" s="23">
        <v>3452400</v>
      </c>
      <c r="M81" s="7"/>
    </row>
    <row r="82" spans="1:13" x14ac:dyDescent="0.25">
      <c r="A82" s="17">
        <f>+IF(B82="","",SUBTOTAL(3,$B$7:B82))</f>
        <v>76</v>
      </c>
      <c r="B82" s="18" t="s">
        <v>116</v>
      </c>
      <c r="C82" s="19">
        <v>46008</v>
      </c>
      <c r="D82" s="20" t="s">
        <v>242</v>
      </c>
      <c r="E82" s="18" t="s">
        <v>97</v>
      </c>
      <c r="F82" s="21">
        <v>306579176</v>
      </c>
      <c r="G82" s="21">
        <v>3975255</v>
      </c>
      <c r="H82" s="20" t="s">
        <v>243</v>
      </c>
      <c r="I82" s="22">
        <v>1</v>
      </c>
      <c r="J82" s="21" t="s">
        <v>97</v>
      </c>
      <c r="K82" s="23">
        <v>2385000</v>
      </c>
      <c r="M82" s="7"/>
    </row>
    <row r="83" spans="1:13" x14ac:dyDescent="0.25">
      <c r="A83" s="17">
        <f>+IF(B83="","",SUBTOTAL(3,$B$7:B83))</f>
        <v>77</v>
      </c>
      <c r="B83" s="18" t="s">
        <v>116</v>
      </c>
      <c r="C83" s="19">
        <v>46013</v>
      </c>
      <c r="D83" s="20" t="s">
        <v>244</v>
      </c>
      <c r="E83" s="18" t="s">
        <v>1011</v>
      </c>
      <c r="F83" s="21">
        <v>203345994</v>
      </c>
      <c r="G83" s="21">
        <v>3992815</v>
      </c>
      <c r="H83" s="20" t="s">
        <v>245</v>
      </c>
      <c r="I83" s="22">
        <v>10</v>
      </c>
      <c r="J83" s="21" t="s">
        <v>101</v>
      </c>
      <c r="K83" s="23">
        <v>330000000</v>
      </c>
      <c r="M83" s="7"/>
    </row>
    <row r="84" spans="1:13" ht="30" x14ac:dyDescent="0.25">
      <c r="A84" s="17">
        <f>+IF(B84="","",SUBTOTAL(3,$B$7:B84))</f>
        <v>78</v>
      </c>
      <c r="B84" s="18" t="s">
        <v>116</v>
      </c>
      <c r="C84" s="19">
        <v>46013</v>
      </c>
      <c r="D84" s="20" t="s">
        <v>244</v>
      </c>
      <c r="E84" s="18" t="s">
        <v>1011</v>
      </c>
      <c r="F84" s="21">
        <v>203345994</v>
      </c>
      <c r="G84" s="21">
        <v>3994047</v>
      </c>
      <c r="H84" s="20" t="s">
        <v>246</v>
      </c>
      <c r="I84" s="22">
        <v>1</v>
      </c>
      <c r="J84" s="21" t="s">
        <v>101</v>
      </c>
      <c r="K84" s="23">
        <v>102000000</v>
      </c>
      <c r="M84" s="7"/>
    </row>
    <row r="85" spans="1:13" x14ac:dyDescent="0.25">
      <c r="A85" s="17">
        <f>+IF(B85="","",SUBTOTAL(3,$B$7:B85))</f>
        <v>79</v>
      </c>
      <c r="B85" s="24" t="s">
        <v>116</v>
      </c>
      <c r="C85" s="25">
        <v>46015</v>
      </c>
      <c r="D85" s="26" t="s">
        <v>247</v>
      </c>
      <c r="E85" s="18" t="s">
        <v>1011</v>
      </c>
      <c r="F85" s="27">
        <v>311768564</v>
      </c>
      <c r="G85" s="27">
        <v>4012354</v>
      </c>
      <c r="H85" s="26" t="s">
        <v>248</v>
      </c>
      <c r="I85" s="28">
        <v>1</v>
      </c>
      <c r="J85" s="27" t="s">
        <v>101</v>
      </c>
      <c r="K85" s="29">
        <v>6590000</v>
      </c>
      <c r="M85" s="7"/>
    </row>
    <row r="86" spans="1:13" x14ac:dyDescent="0.25">
      <c r="A86" s="30"/>
      <c r="B86" s="1"/>
      <c r="C86" s="31"/>
      <c r="D86" s="32"/>
      <c r="E86" s="1"/>
      <c r="F86" s="30"/>
      <c r="G86" s="30"/>
      <c r="H86" s="32"/>
      <c r="I86" s="2"/>
      <c r="J86" s="30"/>
      <c r="K86" s="6"/>
    </row>
    <row r="87" spans="1:13" x14ac:dyDescent="0.25">
      <c r="A87" s="30"/>
      <c r="B87" s="1"/>
      <c r="C87" s="31"/>
      <c r="D87" s="32"/>
      <c r="E87" s="1"/>
      <c r="F87" s="30"/>
      <c r="G87" s="30"/>
      <c r="H87" s="32"/>
      <c r="I87" s="2"/>
      <c r="J87" s="30"/>
      <c r="K87" s="6"/>
    </row>
    <row r="88" spans="1:13" x14ac:dyDescent="0.25">
      <c r="A88" s="30"/>
      <c r="B88" s="1"/>
      <c r="C88" s="31"/>
      <c r="D88" s="32"/>
      <c r="E88" s="1"/>
      <c r="F88" s="30"/>
      <c r="G88" s="30"/>
      <c r="H88" s="32"/>
      <c r="I88" s="2"/>
      <c r="J88" s="30"/>
      <c r="K88" s="6"/>
    </row>
    <row r="89" spans="1:13" x14ac:dyDescent="0.25">
      <c r="A89" s="30"/>
      <c r="B89" s="1"/>
      <c r="C89" s="31"/>
      <c r="D89" s="32"/>
      <c r="E89" s="1"/>
      <c r="F89" s="30"/>
      <c r="G89" s="30"/>
      <c r="H89" s="32"/>
      <c r="I89" s="2"/>
      <c r="J89" s="30"/>
      <c r="K89" s="6"/>
    </row>
    <row r="90" spans="1:13" x14ac:dyDescent="0.25">
      <c r="A90" s="30"/>
      <c r="B90" s="1"/>
      <c r="C90" s="31"/>
      <c r="D90" s="32"/>
      <c r="E90" s="1"/>
      <c r="F90" s="30"/>
      <c r="G90" s="30"/>
      <c r="H90" s="32"/>
      <c r="I90" s="2"/>
      <c r="J90" s="30"/>
      <c r="K90" s="6"/>
    </row>
    <row r="91" spans="1:13" x14ac:dyDescent="0.25">
      <c r="A91" s="30"/>
      <c r="B91" s="1"/>
      <c r="C91" s="31"/>
      <c r="D91" s="32"/>
      <c r="E91" s="1"/>
      <c r="F91" s="30"/>
      <c r="G91" s="30"/>
      <c r="H91" s="32"/>
      <c r="I91" s="2"/>
      <c r="J91" s="30"/>
      <c r="K91" s="6"/>
    </row>
    <row r="92" spans="1:13" x14ac:dyDescent="0.25">
      <c r="A92" s="30"/>
      <c r="B92" s="1"/>
      <c r="C92" s="31"/>
      <c r="D92" s="32"/>
      <c r="E92" s="1"/>
      <c r="F92" s="30"/>
      <c r="G92" s="30"/>
      <c r="H92" s="32"/>
      <c r="I92" s="2"/>
      <c r="J92" s="30"/>
      <c r="K92" s="6"/>
    </row>
    <row r="93" spans="1:13" x14ac:dyDescent="0.25">
      <c r="A93" s="30"/>
      <c r="B93" s="1"/>
      <c r="C93" s="31"/>
      <c r="D93" s="32"/>
      <c r="E93" s="1"/>
      <c r="F93" s="30"/>
      <c r="G93" s="30"/>
      <c r="H93" s="32"/>
      <c r="I93" s="2"/>
      <c r="J93" s="30"/>
      <c r="K93" s="6"/>
    </row>
    <row r="94" spans="1:13" x14ac:dyDescent="0.25">
      <c r="A94" s="30"/>
      <c r="B94" s="1"/>
      <c r="C94" s="31"/>
      <c r="D94" s="32"/>
      <c r="E94" s="1"/>
      <c r="F94" s="30"/>
      <c r="G94" s="30"/>
      <c r="H94" s="32"/>
      <c r="I94" s="2"/>
      <c r="J94" s="30"/>
      <c r="K94" s="6"/>
    </row>
    <row r="95" spans="1:13" x14ac:dyDescent="0.25">
      <c r="A95" s="30"/>
      <c r="B95" s="1"/>
      <c r="C95" s="31"/>
      <c r="D95" s="32"/>
      <c r="E95" s="1"/>
      <c r="F95" s="30"/>
      <c r="G95" s="30"/>
      <c r="H95" s="32"/>
      <c r="I95" s="2"/>
      <c r="J95" s="30"/>
      <c r="K95" s="6"/>
    </row>
    <row r="96" spans="1:13" x14ac:dyDescent="0.25">
      <c r="A96" s="30"/>
      <c r="B96" s="1"/>
      <c r="C96" s="31"/>
      <c r="D96" s="32"/>
      <c r="E96" s="1"/>
      <c r="F96" s="30"/>
      <c r="G96" s="30"/>
      <c r="H96" s="32"/>
      <c r="I96" s="2"/>
      <c r="J96" s="30"/>
      <c r="K96" s="6"/>
    </row>
    <row r="97" spans="1:11" x14ac:dyDescent="0.25">
      <c r="A97" s="30"/>
      <c r="B97" s="1"/>
      <c r="C97" s="31"/>
      <c r="D97" s="32"/>
      <c r="E97" s="1"/>
      <c r="F97" s="30"/>
      <c r="G97" s="30"/>
      <c r="H97" s="32"/>
      <c r="I97" s="2"/>
      <c r="J97" s="30"/>
      <c r="K97" s="6"/>
    </row>
    <row r="98" spans="1:11" x14ac:dyDescent="0.25">
      <c r="A98" s="30"/>
      <c r="B98" s="1"/>
      <c r="C98" s="31"/>
      <c r="D98" s="32"/>
      <c r="E98" s="1"/>
      <c r="F98" s="30"/>
      <c r="G98" s="30"/>
      <c r="H98" s="32"/>
      <c r="I98" s="2"/>
      <c r="J98" s="30"/>
      <c r="K98" s="6"/>
    </row>
    <row r="99" spans="1:11" x14ac:dyDescent="0.25">
      <c r="A99" s="30"/>
      <c r="B99" s="1"/>
      <c r="C99" s="31"/>
      <c r="D99" s="32"/>
      <c r="E99" s="1"/>
      <c r="F99" s="30"/>
      <c r="G99" s="30"/>
      <c r="H99" s="32"/>
      <c r="I99" s="2"/>
      <c r="J99" s="30"/>
      <c r="K99" s="6"/>
    </row>
    <row r="100" spans="1:11" x14ac:dyDescent="0.25">
      <c r="A100" s="30"/>
      <c r="B100" s="1"/>
      <c r="C100" s="31"/>
      <c r="D100" s="32"/>
      <c r="E100" s="1"/>
      <c r="F100" s="30"/>
      <c r="G100" s="30"/>
      <c r="H100" s="32"/>
      <c r="I100" s="2"/>
      <c r="J100" s="30"/>
      <c r="K100" s="6"/>
    </row>
    <row r="101" spans="1:11" x14ac:dyDescent="0.25">
      <c r="A101" s="30"/>
      <c r="B101" s="1"/>
      <c r="C101" s="31"/>
      <c r="D101" s="32"/>
      <c r="E101" s="1"/>
      <c r="F101" s="30"/>
      <c r="G101" s="30"/>
      <c r="H101" s="32"/>
      <c r="I101" s="2"/>
      <c r="J101" s="30"/>
      <c r="K101" s="6"/>
    </row>
    <row r="102" spans="1:11" x14ac:dyDescent="0.25">
      <c r="A102" s="30"/>
      <c r="B102" s="1"/>
      <c r="C102" s="31"/>
      <c r="D102" s="32"/>
      <c r="E102" s="1"/>
      <c r="F102" s="30"/>
      <c r="G102" s="30"/>
      <c r="H102" s="32"/>
      <c r="I102" s="2"/>
      <c r="J102" s="30"/>
      <c r="K102" s="6"/>
    </row>
    <row r="103" spans="1:11" x14ac:dyDescent="0.25">
      <c r="A103" s="30"/>
      <c r="B103" s="1"/>
      <c r="C103" s="31"/>
      <c r="D103" s="32"/>
      <c r="E103" s="1"/>
      <c r="F103" s="30"/>
      <c r="G103" s="30"/>
      <c r="H103" s="32"/>
      <c r="I103" s="2"/>
      <c r="J103" s="30"/>
      <c r="K103" s="6"/>
    </row>
    <row r="104" spans="1:11" x14ac:dyDescent="0.25">
      <c r="A104" s="30"/>
      <c r="B104" s="1"/>
      <c r="C104" s="31"/>
      <c r="D104" s="32"/>
      <c r="E104" s="1"/>
      <c r="F104" s="30"/>
      <c r="G104" s="30"/>
      <c r="H104" s="32"/>
      <c r="I104" s="2"/>
      <c r="J104" s="30"/>
      <c r="K104" s="6"/>
    </row>
    <row r="105" spans="1:11" x14ac:dyDescent="0.25">
      <c r="A105" s="30"/>
      <c r="B105" s="1"/>
      <c r="C105" s="31"/>
      <c r="D105" s="32"/>
      <c r="E105" s="1"/>
      <c r="F105" s="30"/>
      <c r="G105" s="30"/>
      <c r="H105" s="32"/>
      <c r="I105" s="2"/>
      <c r="J105" s="30"/>
      <c r="K105" s="6"/>
    </row>
    <row r="106" spans="1:11" x14ac:dyDescent="0.25">
      <c r="A106" s="30"/>
      <c r="B106" s="1"/>
      <c r="C106" s="31"/>
      <c r="D106" s="32"/>
      <c r="E106" s="1"/>
      <c r="F106" s="30"/>
      <c r="G106" s="30"/>
      <c r="H106" s="32"/>
      <c r="I106" s="2"/>
      <c r="J106" s="30"/>
      <c r="K106" s="6"/>
    </row>
    <row r="107" spans="1:11" x14ac:dyDescent="0.25">
      <c r="A107" s="30"/>
      <c r="B107" s="1"/>
      <c r="C107" s="31"/>
      <c r="D107" s="32"/>
      <c r="E107" s="1"/>
      <c r="F107" s="30"/>
      <c r="G107" s="30"/>
      <c r="H107" s="32"/>
      <c r="I107" s="2"/>
      <c r="J107" s="30"/>
      <c r="K107" s="6"/>
    </row>
    <row r="108" spans="1:11" x14ac:dyDescent="0.25">
      <c r="A108" s="30"/>
      <c r="B108" s="1"/>
      <c r="C108" s="31"/>
      <c r="D108" s="32"/>
      <c r="E108" s="1"/>
      <c r="F108" s="30"/>
      <c r="G108" s="30"/>
      <c r="H108" s="32"/>
      <c r="I108" s="2"/>
      <c r="J108" s="30"/>
      <c r="K108" s="6"/>
    </row>
    <row r="109" spans="1:11" x14ac:dyDescent="0.25">
      <c r="A109" s="30"/>
      <c r="B109" s="1"/>
      <c r="C109" s="31"/>
      <c r="D109" s="32"/>
      <c r="E109" s="1"/>
      <c r="F109" s="30"/>
      <c r="G109" s="30"/>
      <c r="H109" s="32"/>
      <c r="I109" s="2"/>
      <c r="J109" s="30"/>
      <c r="K109" s="6"/>
    </row>
    <row r="110" spans="1:11" x14ac:dyDescent="0.25">
      <c r="A110" s="30"/>
      <c r="B110" s="1"/>
      <c r="C110" s="31"/>
      <c r="D110" s="32"/>
      <c r="E110" s="1"/>
      <c r="F110" s="30"/>
      <c r="G110" s="30"/>
      <c r="H110" s="32"/>
      <c r="I110" s="2"/>
      <c r="J110" s="30"/>
      <c r="K110" s="6"/>
    </row>
    <row r="111" spans="1:11" x14ac:dyDescent="0.25">
      <c r="A111" s="30"/>
      <c r="B111" s="1"/>
      <c r="C111" s="31"/>
      <c r="D111" s="32"/>
      <c r="E111" s="1"/>
      <c r="F111" s="30"/>
      <c r="G111" s="30"/>
      <c r="H111" s="32"/>
      <c r="I111" s="2"/>
      <c r="J111" s="30"/>
      <c r="K111" s="6"/>
    </row>
    <row r="112" spans="1:11" x14ac:dyDescent="0.25">
      <c r="A112" s="30"/>
      <c r="B112" s="1"/>
      <c r="C112" s="31"/>
      <c r="D112" s="32"/>
      <c r="E112" s="1"/>
      <c r="F112" s="30"/>
      <c r="G112" s="30"/>
      <c r="H112" s="32"/>
      <c r="I112" s="2"/>
      <c r="J112" s="30"/>
      <c r="K112" s="6"/>
    </row>
    <row r="113" spans="1:11" x14ac:dyDescent="0.25">
      <c r="A113" s="30"/>
      <c r="B113" s="1"/>
      <c r="C113" s="31"/>
      <c r="D113" s="32"/>
      <c r="E113" s="1"/>
      <c r="F113" s="30"/>
      <c r="G113" s="30"/>
      <c r="H113" s="32"/>
      <c r="I113" s="2"/>
      <c r="J113" s="30"/>
      <c r="K113" s="6"/>
    </row>
    <row r="114" spans="1:11" x14ac:dyDescent="0.25">
      <c r="A114" s="30"/>
      <c r="B114" s="1"/>
      <c r="C114" s="31"/>
      <c r="D114" s="32"/>
      <c r="E114" s="1"/>
      <c r="F114" s="30"/>
      <c r="G114" s="30"/>
      <c r="H114" s="32"/>
      <c r="I114" s="2"/>
      <c r="J114" s="30"/>
      <c r="K114" s="6"/>
    </row>
    <row r="115" spans="1:11" x14ac:dyDescent="0.25">
      <c r="A115" s="30"/>
      <c r="B115" s="1"/>
      <c r="C115" s="31"/>
      <c r="D115" s="32"/>
      <c r="E115" s="1"/>
      <c r="F115" s="30"/>
      <c r="G115" s="30"/>
      <c r="H115" s="32"/>
      <c r="I115" s="2"/>
      <c r="J115" s="30"/>
      <c r="K115" s="6"/>
    </row>
    <row r="116" spans="1:11" x14ac:dyDescent="0.25">
      <c r="A116" s="30"/>
      <c r="B116" s="1"/>
      <c r="C116" s="31"/>
      <c r="D116" s="32"/>
      <c r="E116" s="1"/>
      <c r="F116" s="30"/>
      <c r="G116" s="30"/>
      <c r="H116" s="32"/>
      <c r="I116" s="2"/>
      <c r="J116" s="30"/>
      <c r="K116" s="6"/>
    </row>
    <row r="117" spans="1:11" x14ac:dyDescent="0.25">
      <c r="A117" s="30"/>
      <c r="B117" s="1"/>
      <c r="C117" s="31"/>
      <c r="D117" s="32"/>
      <c r="E117" s="1"/>
      <c r="F117" s="30"/>
      <c r="G117" s="30"/>
      <c r="H117" s="32"/>
      <c r="I117" s="2"/>
      <c r="J117" s="30"/>
      <c r="K117" s="6"/>
    </row>
    <row r="118" spans="1:11" x14ac:dyDescent="0.25">
      <c r="A118" s="30"/>
      <c r="B118" s="1"/>
      <c r="C118" s="31"/>
      <c r="D118" s="32"/>
      <c r="E118" s="1"/>
      <c r="F118" s="30"/>
      <c r="G118" s="30"/>
      <c r="H118" s="32"/>
      <c r="I118" s="2"/>
      <c r="J118" s="30"/>
      <c r="K118" s="6"/>
    </row>
    <row r="119" spans="1:11" x14ac:dyDescent="0.25">
      <c r="A119" s="30"/>
      <c r="B119" s="1"/>
      <c r="C119" s="31"/>
      <c r="D119" s="32"/>
      <c r="E119" s="1"/>
      <c r="F119" s="30"/>
      <c r="G119" s="30"/>
      <c r="H119" s="32"/>
      <c r="I119" s="2"/>
      <c r="J119" s="30"/>
      <c r="K119" s="6"/>
    </row>
    <row r="120" spans="1:11" x14ac:dyDescent="0.25">
      <c r="A120" s="30"/>
      <c r="B120" s="1"/>
      <c r="C120" s="31"/>
      <c r="D120" s="32"/>
      <c r="E120" s="1"/>
      <c r="F120" s="30"/>
      <c r="G120" s="30"/>
      <c r="H120" s="32"/>
      <c r="I120" s="2"/>
      <c r="J120" s="30"/>
      <c r="K120" s="6"/>
    </row>
    <row r="121" spans="1:11" x14ac:dyDescent="0.25">
      <c r="A121" s="30"/>
      <c r="B121" s="1"/>
      <c r="C121" s="31"/>
      <c r="D121" s="32"/>
      <c r="E121" s="1"/>
      <c r="F121" s="30"/>
      <c r="G121" s="30"/>
      <c r="H121" s="32"/>
      <c r="I121" s="2"/>
      <c r="J121" s="30"/>
      <c r="K121" s="6"/>
    </row>
    <row r="122" spans="1:11" x14ac:dyDescent="0.25">
      <c r="A122" s="30"/>
      <c r="B122" s="1"/>
      <c r="C122" s="31"/>
      <c r="D122" s="32"/>
      <c r="E122" s="1"/>
      <c r="F122" s="30"/>
      <c r="G122" s="30"/>
      <c r="H122" s="32"/>
      <c r="I122" s="2"/>
      <c r="J122" s="30"/>
      <c r="K122" s="6"/>
    </row>
    <row r="123" spans="1:11" x14ac:dyDescent="0.25">
      <c r="A123" s="30"/>
      <c r="B123" s="1"/>
      <c r="C123" s="31"/>
      <c r="D123" s="32"/>
      <c r="E123" s="1"/>
      <c r="F123" s="30"/>
      <c r="G123" s="30"/>
      <c r="H123" s="32"/>
      <c r="I123" s="2"/>
      <c r="J123" s="30"/>
      <c r="K123" s="6"/>
    </row>
    <row r="124" spans="1:11" x14ac:dyDescent="0.25">
      <c r="A124" s="30"/>
      <c r="B124" s="1"/>
      <c r="C124" s="31"/>
      <c r="D124" s="32"/>
      <c r="E124" s="1"/>
      <c r="F124" s="30"/>
      <c r="G124" s="30"/>
      <c r="H124" s="32"/>
      <c r="I124" s="2"/>
      <c r="J124" s="30"/>
      <c r="K124" s="6"/>
    </row>
    <row r="125" spans="1:11" x14ac:dyDescent="0.25">
      <c r="A125" s="30"/>
      <c r="B125" s="1"/>
      <c r="C125" s="31"/>
      <c r="D125" s="32"/>
      <c r="E125" s="1"/>
      <c r="F125" s="30"/>
      <c r="G125" s="30"/>
      <c r="H125" s="32"/>
      <c r="I125" s="2"/>
      <c r="J125" s="30"/>
      <c r="K125" s="6"/>
    </row>
    <row r="126" spans="1:11" x14ac:dyDescent="0.25">
      <c r="A126" s="30"/>
      <c r="B126" s="1"/>
      <c r="C126" s="31"/>
      <c r="D126" s="32"/>
      <c r="E126" s="1"/>
      <c r="F126" s="30"/>
      <c r="G126" s="30"/>
      <c r="H126" s="32"/>
      <c r="I126" s="2"/>
      <c r="J126" s="30"/>
      <c r="K126" s="6"/>
    </row>
    <row r="127" spans="1:11" x14ac:dyDescent="0.25">
      <c r="A127" s="30"/>
      <c r="B127" s="1"/>
      <c r="C127" s="31"/>
      <c r="D127" s="32"/>
      <c r="E127" s="1"/>
      <c r="F127" s="30"/>
      <c r="G127" s="30"/>
      <c r="H127" s="32"/>
      <c r="I127" s="2"/>
      <c r="J127" s="30"/>
      <c r="K127" s="6"/>
    </row>
    <row r="128" spans="1:11" x14ac:dyDescent="0.25">
      <c r="A128" s="30"/>
      <c r="B128" s="1"/>
      <c r="C128" s="31"/>
      <c r="D128" s="32"/>
      <c r="E128" s="1"/>
      <c r="F128" s="30"/>
      <c r="G128" s="30"/>
      <c r="H128" s="32"/>
      <c r="I128" s="2"/>
      <c r="J128" s="30"/>
      <c r="K128" s="6"/>
    </row>
    <row r="129" spans="1:11" x14ac:dyDescent="0.25">
      <c r="A129" s="30"/>
      <c r="B129" s="1"/>
      <c r="C129" s="31"/>
      <c r="D129" s="32"/>
      <c r="E129" s="1"/>
      <c r="F129" s="30"/>
      <c r="G129" s="30"/>
      <c r="H129" s="32"/>
      <c r="I129" s="2"/>
      <c r="J129" s="30"/>
      <c r="K129" s="6"/>
    </row>
    <row r="130" spans="1:11" x14ac:dyDescent="0.25">
      <c r="A130" s="30"/>
      <c r="B130" s="1"/>
      <c r="C130" s="31"/>
      <c r="D130" s="32"/>
      <c r="E130" s="1"/>
      <c r="F130" s="30"/>
      <c r="G130" s="30"/>
      <c r="H130" s="32"/>
      <c r="I130" s="2"/>
      <c r="J130" s="30"/>
      <c r="K130" s="6"/>
    </row>
    <row r="131" spans="1:11" x14ac:dyDescent="0.25">
      <c r="A131" s="30"/>
      <c r="B131" s="1"/>
      <c r="C131" s="31"/>
      <c r="D131" s="32"/>
      <c r="E131" s="1"/>
      <c r="F131" s="30"/>
      <c r="G131" s="30"/>
      <c r="H131" s="32"/>
      <c r="I131" s="2"/>
      <c r="J131" s="30"/>
      <c r="K131" s="6"/>
    </row>
    <row r="132" spans="1:11" x14ac:dyDescent="0.25">
      <c r="A132" s="30"/>
      <c r="B132" s="1"/>
      <c r="C132" s="31"/>
      <c r="D132" s="32"/>
      <c r="E132" s="1"/>
      <c r="F132" s="30"/>
      <c r="G132" s="30"/>
      <c r="H132" s="32"/>
      <c r="I132" s="2"/>
      <c r="J132" s="30"/>
      <c r="K132" s="6"/>
    </row>
    <row r="133" spans="1:11" x14ac:dyDescent="0.25">
      <c r="A133" s="30"/>
      <c r="B133" s="1"/>
      <c r="C133" s="31"/>
      <c r="D133" s="32"/>
      <c r="E133" s="1"/>
      <c r="F133" s="30"/>
      <c r="G133" s="30"/>
      <c r="H133" s="32"/>
      <c r="I133" s="2"/>
      <c r="J133" s="30"/>
      <c r="K133" s="6"/>
    </row>
    <row r="134" spans="1:11" x14ac:dyDescent="0.25">
      <c r="A134" s="30"/>
      <c r="B134" s="1"/>
      <c r="C134" s="31"/>
      <c r="D134" s="32"/>
      <c r="E134" s="1"/>
      <c r="F134" s="30"/>
      <c r="G134" s="30"/>
      <c r="H134" s="32"/>
      <c r="I134" s="2"/>
      <c r="J134" s="30"/>
      <c r="K134" s="6"/>
    </row>
    <row r="135" spans="1:11" x14ac:dyDescent="0.25">
      <c r="A135" s="30"/>
      <c r="B135" s="1"/>
      <c r="C135" s="31"/>
      <c r="D135" s="32"/>
      <c r="E135" s="1"/>
      <c r="F135" s="30"/>
      <c r="G135" s="30"/>
      <c r="H135" s="32"/>
      <c r="I135" s="2"/>
      <c r="J135" s="30"/>
      <c r="K135" s="6"/>
    </row>
    <row r="136" spans="1:11" x14ac:dyDescent="0.25">
      <c r="A136" s="30"/>
      <c r="B136" s="1"/>
      <c r="C136" s="31"/>
      <c r="D136" s="32"/>
      <c r="E136" s="1"/>
      <c r="F136" s="30"/>
      <c r="G136" s="30"/>
      <c r="H136" s="32"/>
      <c r="I136" s="2"/>
      <c r="J136" s="30"/>
      <c r="K136" s="6"/>
    </row>
  </sheetData>
  <autoFilter ref="A6:M85"/>
  <mergeCells count="1">
    <mergeCell ref="A1:K1"/>
  </mergeCells>
  <pageMargins left="0.19685039370078741" right="0.19685039370078741" top="0.59055118110236227" bottom="0.19685039370078741" header="0" footer="0"/>
  <pageSetup paperSize="9" scale="51" fitToHeight="10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2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H1"/>
    </sheetView>
  </sheetViews>
  <sheetFormatPr defaultRowHeight="15" x14ac:dyDescent="0.25"/>
  <cols>
    <col min="1" max="1" width="5.42578125" style="30" customWidth="1"/>
    <col min="2" max="2" width="33.42578125" style="32" customWidth="1"/>
    <col min="3" max="3" width="10.140625" style="30" bestFit="1" customWidth="1"/>
    <col min="4" max="4" width="31" style="33" bestFit="1" customWidth="1"/>
    <col min="5" max="5" width="11.5703125" customWidth="1"/>
    <col min="6" max="6" width="12" style="4" customWidth="1"/>
    <col min="7" max="7" width="13.7109375" style="4" customWidth="1"/>
    <col min="8" max="8" width="17.42578125" style="7" customWidth="1"/>
    <col min="9" max="9" width="13.7109375" bestFit="1" customWidth="1"/>
    <col min="10" max="10" width="19.28515625" customWidth="1"/>
    <col min="11" max="11" width="14.42578125" customWidth="1"/>
    <col min="12" max="12" width="17.5703125" customWidth="1"/>
    <col min="13" max="13" width="11.42578125" bestFit="1" customWidth="1"/>
    <col min="14" max="14" width="15.28515625" customWidth="1"/>
  </cols>
  <sheetData>
    <row r="1" spans="1:14" ht="58.5" customHeight="1" x14ac:dyDescent="0.25">
      <c r="A1" s="59" t="s">
        <v>690</v>
      </c>
      <c r="B1" s="59"/>
      <c r="C1" s="59"/>
      <c r="D1" s="59"/>
      <c r="E1" s="59"/>
      <c r="F1" s="59"/>
      <c r="G1" s="59"/>
      <c r="H1" s="59"/>
    </row>
    <row r="2" spans="1:14" x14ac:dyDescent="0.25">
      <c r="A2" s="47" t="s">
        <v>696</v>
      </c>
      <c r="B2"/>
      <c r="C2"/>
      <c r="D2"/>
      <c r="F2"/>
      <c r="G2"/>
      <c r="H2"/>
    </row>
    <row r="3" spans="1:14" s="15" customFormat="1" ht="35.25" customHeight="1" x14ac:dyDescent="0.25">
      <c r="A3" s="48" t="s">
        <v>69</v>
      </c>
      <c r="B3" s="48" t="s">
        <v>697</v>
      </c>
      <c r="C3" s="48" t="s">
        <v>691</v>
      </c>
      <c r="D3" s="48" t="s">
        <v>692</v>
      </c>
      <c r="E3" s="48" t="s">
        <v>89</v>
      </c>
      <c r="F3" s="48" t="s">
        <v>693</v>
      </c>
      <c r="G3" s="48" t="s">
        <v>694</v>
      </c>
      <c r="H3" s="48" t="s">
        <v>695</v>
      </c>
      <c r="K3" s="5"/>
      <c r="L3" s="5"/>
    </row>
    <row r="4" spans="1:14" s="15" customFormat="1" x14ac:dyDescent="0.25">
      <c r="A4" s="48" t="s">
        <v>92</v>
      </c>
      <c r="B4" s="48">
        <v>1</v>
      </c>
      <c r="C4" s="48">
        <f>+B4+1</f>
        <v>2</v>
      </c>
      <c r="D4" s="48">
        <f t="shared" ref="D4:H4" si="0">+C4+1</f>
        <v>3</v>
      </c>
      <c r="E4" s="48">
        <f t="shared" si="0"/>
        <v>4</v>
      </c>
      <c r="F4" s="48">
        <f t="shared" si="0"/>
        <v>5</v>
      </c>
      <c r="G4" s="48">
        <f t="shared" si="0"/>
        <v>6</v>
      </c>
      <c r="H4" s="48">
        <f t="shared" si="0"/>
        <v>7</v>
      </c>
      <c r="J4" s="5"/>
      <c r="K4" s="5"/>
      <c r="L4" s="5"/>
      <c r="M4" s="5"/>
    </row>
    <row r="5" spans="1:14" s="15" customFormat="1" x14ac:dyDescent="0.25">
      <c r="A5" s="48"/>
      <c r="B5" s="48" t="s">
        <v>80</v>
      </c>
      <c r="C5" s="48"/>
      <c r="D5" s="48"/>
      <c r="E5" s="48"/>
      <c r="F5" s="49">
        <f>+SUBTOTAL(9,F7:F797)</f>
        <v>1684867.76</v>
      </c>
      <c r="G5" s="49">
        <f>+SUBTOTAL(9,G7:G797)</f>
        <v>25925857.719999991</v>
      </c>
      <c r="H5" s="49">
        <f>+SUBTOTAL(9,H7:H797)</f>
        <v>278660118.59499997</v>
      </c>
      <c r="I5" s="5"/>
      <c r="J5" s="5"/>
      <c r="K5" s="5"/>
      <c r="L5" s="5"/>
      <c r="M5" s="5"/>
      <c r="N5" s="5"/>
    </row>
    <row r="6" spans="1:14" s="15" customFormat="1" x14ac:dyDescent="0.25">
      <c r="A6" s="48"/>
      <c r="B6" s="48"/>
      <c r="C6" s="48"/>
      <c r="D6" s="48"/>
      <c r="E6" s="48"/>
      <c r="F6" s="49"/>
      <c r="G6" s="49"/>
      <c r="H6" s="49"/>
    </row>
    <row r="7" spans="1:14" x14ac:dyDescent="0.25">
      <c r="A7" s="38">
        <f>+IF(B7="","",SUBTOTAL(3,$B$7:B7))</f>
        <v>1</v>
      </c>
      <c r="B7" s="50" t="s">
        <v>698</v>
      </c>
      <c r="C7" s="41">
        <v>45664</v>
      </c>
      <c r="D7" s="40" t="s">
        <v>699</v>
      </c>
      <c r="E7" s="38" t="s">
        <v>101</v>
      </c>
      <c r="F7" s="51">
        <v>10</v>
      </c>
      <c r="G7" s="51">
        <v>1111.1099999999999</v>
      </c>
      <c r="H7" s="51">
        <f>+SUM(F7*G7)</f>
        <v>11111.099999999999</v>
      </c>
    </row>
    <row r="8" spans="1:14" x14ac:dyDescent="0.25">
      <c r="A8" s="38">
        <f>+IF(B8="","",SUBTOTAL(3,$B$7:B8))</f>
        <v>2</v>
      </c>
      <c r="B8" s="50" t="s">
        <v>698</v>
      </c>
      <c r="C8" s="41">
        <v>45664</v>
      </c>
      <c r="D8" s="40" t="s">
        <v>700</v>
      </c>
      <c r="E8" s="38" t="s">
        <v>101</v>
      </c>
      <c r="F8" s="51">
        <v>40</v>
      </c>
      <c r="G8" s="51">
        <v>1090</v>
      </c>
      <c r="H8" s="51">
        <f t="shared" ref="H8:H71" si="1">+SUM(F8*G8)</f>
        <v>43600</v>
      </c>
    </row>
    <row r="9" spans="1:14" ht="30" x14ac:dyDescent="0.25">
      <c r="A9" s="38">
        <f>+IF(B9="","",SUBTOTAL(3,$B$7:B9))</f>
        <v>3</v>
      </c>
      <c r="B9" s="50" t="s">
        <v>698</v>
      </c>
      <c r="C9" s="41">
        <v>45664</v>
      </c>
      <c r="D9" s="40" t="s">
        <v>701</v>
      </c>
      <c r="E9" s="38" t="s">
        <v>101</v>
      </c>
      <c r="F9" s="51">
        <v>2</v>
      </c>
      <c r="G9" s="51">
        <v>19600</v>
      </c>
      <c r="H9" s="51">
        <f t="shared" si="1"/>
        <v>39200</v>
      </c>
    </row>
    <row r="10" spans="1:14" x14ac:dyDescent="0.25">
      <c r="A10" s="38">
        <f>+IF(B10="","",SUBTOTAL(3,$B$7:B10))</f>
        <v>4</v>
      </c>
      <c r="B10" s="50" t="s">
        <v>698</v>
      </c>
      <c r="C10" s="41">
        <v>45664</v>
      </c>
      <c r="D10" s="40" t="s">
        <v>188</v>
      </c>
      <c r="E10" s="38" t="s">
        <v>101</v>
      </c>
      <c r="F10" s="51">
        <v>1</v>
      </c>
      <c r="G10" s="51">
        <v>36000</v>
      </c>
      <c r="H10" s="51">
        <f t="shared" si="1"/>
        <v>36000</v>
      </c>
    </row>
    <row r="11" spans="1:14" x14ac:dyDescent="0.25">
      <c r="A11" s="38">
        <f>+IF(B11="","",SUBTOTAL(3,$B$7:B11))</f>
        <v>5</v>
      </c>
      <c r="B11" s="50" t="s">
        <v>698</v>
      </c>
      <c r="C11" s="41">
        <v>45664</v>
      </c>
      <c r="D11" s="40" t="s">
        <v>702</v>
      </c>
      <c r="E11" s="38" t="s">
        <v>144</v>
      </c>
      <c r="F11" s="51">
        <v>20</v>
      </c>
      <c r="G11" s="51">
        <v>23000</v>
      </c>
      <c r="H11" s="51">
        <f t="shared" si="1"/>
        <v>460000</v>
      </c>
    </row>
    <row r="12" spans="1:14" x14ac:dyDescent="0.25">
      <c r="A12" s="38">
        <f>+IF(B12="","",SUBTOTAL(3,$B$7:B12))</f>
        <v>6</v>
      </c>
      <c r="B12" s="50" t="s">
        <v>698</v>
      </c>
      <c r="C12" s="41">
        <v>45664</v>
      </c>
      <c r="D12" s="40" t="s">
        <v>703</v>
      </c>
      <c r="E12" s="38" t="s">
        <v>101</v>
      </c>
      <c r="F12" s="51">
        <v>2</v>
      </c>
      <c r="G12" s="51">
        <v>9500</v>
      </c>
      <c r="H12" s="51">
        <f t="shared" si="1"/>
        <v>19000</v>
      </c>
    </row>
    <row r="13" spans="1:14" x14ac:dyDescent="0.25">
      <c r="A13" s="38">
        <f>+IF(B13="","",SUBTOTAL(3,$B$7:B13))</f>
        <v>7</v>
      </c>
      <c r="B13" s="50" t="s">
        <v>698</v>
      </c>
      <c r="C13" s="41">
        <v>45664</v>
      </c>
      <c r="D13" s="40" t="s">
        <v>704</v>
      </c>
      <c r="E13" s="38" t="s">
        <v>101</v>
      </c>
      <c r="F13" s="51">
        <v>2</v>
      </c>
      <c r="G13" s="51">
        <v>64500</v>
      </c>
      <c r="H13" s="51">
        <f t="shared" si="1"/>
        <v>129000</v>
      </c>
    </row>
    <row r="14" spans="1:14" x14ac:dyDescent="0.25">
      <c r="A14" s="38">
        <f>+IF(B14="","",SUBTOTAL(3,$B$7:B14))</f>
        <v>8</v>
      </c>
      <c r="B14" s="50" t="s">
        <v>705</v>
      </c>
      <c r="C14" s="41">
        <v>45666</v>
      </c>
      <c r="D14" s="40" t="s">
        <v>706</v>
      </c>
      <c r="E14" s="38" t="s">
        <v>707</v>
      </c>
      <c r="F14" s="51">
        <v>10</v>
      </c>
      <c r="G14" s="51">
        <v>9900</v>
      </c>
      <c r="H14" s="51">
        <f t="shared" si="1"/>
        <v>99000</v>
      </c>
    </row>
    <row r="15" spans="1:14" x14ac:dyDescent="0.25">
      <c r="A15" s="38">
        <f>+IF(B15="","",SUBTOTAL(3,$B$7:B15))</f>
        <v>9</v>
      </c>
      <c r="B15" s="50" t="s">
        <v>705</v>
      </c>
      <c r="C15" s="41">
        <v>45666</v>
      </c>
      <c r="D15" s="40" t="s">
        <v>700</v>
      </c>
      <c r="E15" s="38" t="s">
        <v>101</v>
      </c>
      <c r="F15" s="51">
        <v>25</v>
      </c>
      <c r="G15" s="51">
        <v>1090</v>
      </c>
      <c r="H15" s="51">
        <f t="shared" si="1"/>
        <v>27250</v>
      </c>
    </row>
    <row r="16" spans="1:14" ht="30" x14ac:dyDescent="0.25">
      <c r="A16" s="38">
        <f>+IF(B16="","",SUBTOTAL(3,$B$7:B16))</f>
        <v>10</v>
      </c>
      <c r="B16" s="40" t="s">
        <v>462</v>
      </c>
      <c r="C16" s="41">
        <v>45666</v>
      </c>
      <c r="D16" s="40" t="s">
        <v>188</v>
      </c>
      <c r="E16" s="38" t="s">
        <v>101</v>
      </c>
      <c r="F16" s="51">
        <v>2</v>
      </c>
      <c r="G16" s="51">
        <v>36000</v>
      </c>
      <c r="H16" s="51">
        <f t="shared" si="1"/>
        <v>72000</v>
      </c>
    </row>
    <row r="17" spans="1:8" ht="30" x14ac:dyDescent="0.25">
      <c r="A17" s="38">
        <f>+IF(B17="","",SUBTOTAL(3,$B$7:B17))</f>
        <v>11</v>
      </c>
      <c r="B17" s="40" t="s">
        <v>462</v>
      </c>
      <c r="C17" s="41">
        <v>45666</v>
      </c>
      <c r="D17" s="40" t="s">
        <v>196</v>
      </c>
      <c r="E17" s="38" t="s">
        <v>101</v>
      </c>
      <c r="F17" s="51">
        <v>2</v>
      </c>
      <c r="G17" s="51">
        <v>6999</v>
      </c>
      <c r="H17" s="51">
        <f t="shared" si="1"/>
        <v>13998</v>
      </c>
    </row>
    <row r="18" spans="1:8" ht="30" x14ac:dyDescent="0.25">
      <c r="A18" s="38">
        <f>+IF(B18="","",SUBTOTAL(3,$B$7:B18))</f>
        <v>12</v>
      </c>
      <c r="B18" s="40" t="s">
        <v>462</v>
      </c>
      <c r="C18" s="41">
        <v>45666</v>
      </c>
      <c r="D18" s="40" t="s">
        <v>708</v>
      </c>
      <c r="E18" s="38" t="s">
        <v>140</v>
      </c>
      <c r="F18" s="51">
        <v>4</v>
      </c>
      <c r="G18" s="51">
        <v>4000</v>
      </c>
      <c r="H18" s="51">
        <f t="shared" si="1"/>
        <v>16000</v>
      </c>
    </row>
    <row r="19" spans="1:8" ht="30" x14ac:dyDescent="0.25">
      <c r="A19" s="38">
        <f>+IF(B19="","",SUBTOTAL(3,$B$7:B19))</f>
        <v>13</v>
      </c>
      <c r="B19" s="40" t="s">
        <v>462</v>
      </c>
      <c r="C19" s="41">
        <v>45666</v>
      </c>
      <c r="D19" s="40" t="s">
        <v>709</v>
      </c>
      <c r="E19" s="38" t="s">
        <v>101</v>
      </c>
      <c r="F19" s="51">
        <v>2</v>
      </c>
      <c r="G19" s="51">
        <v>10000</v>
      </c>
      <c r="H19" s="51">
        <f t="shared" si="1"/>
        <v>20000</v>
      </c>
    </row>
    <row r="20" spans="1:8" x14ac:dyDescent="0.25">
      <c r="A20" s="38">
        <f>+IF(B20="","",SUBTOTAL(3,$B$7:B20))</f>
        <v>14</v>
      </c>
      <c r="B20" s="50" t="s">
        <v>710</v>
      </c>
      <c r="C20" s="41">
        <v>45666</v>
      </c>
      <c r="D20" s="40" t="s">
        <v>711</v>
      </c>
      <c r="E20" s="38" t="s">
        <v>101</v>
      </c>
      <c r="F20" s="51">
        <v>4</v>
      </c>
      <c r="G20" s="51">
        <v>13668</v>
      </c>
      <c r="H20" s="51">
        <f t="shared" si="1"/>
        <v>54672</v>
      </c>
    </row>
    <row r="21" spans="1:8" ht="30" x14ac:dyDescent="0.25">
      <c r="A21" s="38">
        <f>+IF(B21="","",SUBTOTAL(3,$B$7:B21))</f>
        <v>15</v>
      </c>
      <c r="B21" s="50" t="s">
        <v>710</v>
      </c>
      <c r="C21" s="41">
        <v>45666</v>
      </c>
      <c r="D21" s="40" t="s">
        <v>701</v>
      </c>
      <c r="E21" s="38" t="s">
        <v>101</v>
      </c>
      <c r="F21" s="51">
        <v>1</v>
      </c>
      <c r="G21" s="51">
        <v>19600</v>
      </c>
      <c r="H21" s="51">
        <f t="shared" si="1"/>
        <v>19600</v>
      </c>
    </row>
    <row r="22" spans="1:8" x14ac:dyDescent="0.25">
      <c r="A22" s="38">
        <f>+IF(B22="","",SUBTOTAL(3,$B$7:B22))</f>
        <v>16</v>
      </c>
      <c r="B22" s="50" t="s">
        <v>710</v>
      </c>
      <c r="C22" s="41">
        <v>45666</v>
      </c>
      <c r="D22" s="40" t="s">
        <v>700</v>
      </c>
      <c r="E22" s="38" t="s">
        <v>101</v>
      </c>
      <c r="F22" s="51">
        <v>5</v>
      </c>
      <c r="G22" s="51">
        <v>1090</v>
      </c>
      <c r="H22" s="51">
        <f t="shared" si="1"/>
        <v>5450</v>
      </c>
    </row>
    <row r="23" spans="1:8" x14ac:dyDescent="0.25">
      <c r="A23" s="38">
        <f>+IF(B23="","",SUBTOTAL(3,$B$7:B23))</f>
        <v>17</v>
      </c>
      <c r="B23" s="50" t="s">
        <v>442</v>
      </c>
      <c r="C23" s="41">
        <v>45666</v>
      </c>
      <c r="D23" s="40" t="s">
        <v>712</v>
      </c>
      <c r="E23" s="38" t="s">
        <v>101</v>
      </c>
      <c r="F23" s="51">
        <v>5</v>
      </c>
      <c r="G23" s="51">
        <v>8800</v>
      </c>
      <c r="H23" s="51">
        <f t="shared" si="1"/>
        <v>44000</v>
      </c>
    </row>
    <row r="24" spans="1:8" x14ac:dyDescent="0.25">
      <c r="A24" s="38">
        <f>+IF(B24="","",SUBTOTAL(3,$B$7:B24))</f>
        <v>18</v>
      </c>
      <c r="B24" s="50" t="s">
        <v>442</v>
      </c>
      <c r="C24" s="41">
        <v>45666</v>
      </c>
      <c r="D24" s="40" t="s">
        <v>713</v>
      </c>
      <c r="E24" s="38" t="s">
        <v>101</v>
      </c>
      <c r="F24" s="51">
        <v>1</v>
      </c>
      <c r="G24" s="51">
        <v>32888</v>
      </c>
      <c r="H24" s="51">
        <f t="shared" si="1"/>
        <v>32888</v>
      </c>
    </row>
    <row r="25" spans="1:8" x14ac:dyDescent="0.25">
      <c r="A25" s="38">
        <f>+IF(B25="","",SUBTOTAL(3,$B$7:B25))</f>
        <v>19</v>
      </c>
      <c r="B25" s="50" t="s">
        <v>442</v>
      </c>
      <c r="C25" s="41">
        <v>45666</v>
      </c>
      <c r="D25" s="40" t="s">
        <v>714</v>
      </c>
      <c r="E25" s="38" t="s">
        <v>101</v>
      </c>
      <c r="F25" s="51">
        <v>1</v>
      </c>
      <c r="G25" s="51">
        <v>20000</v>
      </c>
      <c r="H25" s="51">
        <f t="shared" si="1"/>
        <v>20000</v>
      </c>
    </row>
    <row r="26" spans="1:8" ht="60" x14ac:dyDescent="0.25">
      <c r="A26" s="38">
        <f>+IF(B26="","",SUBTOTAL(3,$B$7:B26))</f>
        <v>20</v>
      </c>
      <c r="B26" s="50" t="s">
        <v>442</v>
      </c>
      <c r="C26" s="41">
        <v>45666</v>
      </c>
      <c r="D26" s="40" t="s">
        <v>859</v>
      </c>
      <c r="E26" s="38" t="s">
        <v>132</v>
      </c>
      <c r="F26" s="51">
        <v>4</v>
      </c>
      <c r="G26" s="51">
        <v>2600</v>
      </c>
      <c r="H26" s="51">
        <f t="shared" si="1"/>
        <v>10400</v>
      </c>
    </row>
    <row r="27" spans="1:8" x14ac:dyDescent="0.25">
      <c r="A27" s="38">
        <f>+IF(B27="","",SUBTOTAL(3,$B$7:B27))</f>
        <v>21</v>
      </c>
      <c r="B27" s="50" t="s">
        <v>442</v>
      </c>
      <c r="C27" s="41">
        <v>45666</v>
      </c>
      <c r="D27" s="40" t="s">
        <v>860</v>
      </c>
      <c r="E27" s="38" t="s">
        <v>101</v>
      </c>
      <c r="F27" s="51">
        <v>1</v>
      </c>
      <c r="G27" s="51">
        <v>90000</v>
      </c>
      <c r="H27" s="51">
        <f t="shared" si="1"/>
        <v>90000</v>
      </c>
    </row>
    <row r="28" spans="1:8" ht="45" x14ac:dyDescent="0.25">
      <c r="A28" s="38">
        <f>+IF(B28="","",SUBTOTAL(3,$B$7:B28))</f>
        <v>22</v>
      </c>
      <c r="B28" s="50" t="s">
        <v>442</v>
      </c>
      <c r="C28" s="41">
        <v>45666</v>
      </c>
      <c r="D28" s="40" t="s">
        <v>861</v>
      </c>
      <c r="E28" s="38" t="s">
        <v>101</v>
      </c>
      <c r="F28" s="51">
        <v>2</v>
      </c>
      <c r="G28" s="51">
        <v>9000</v>
      </c>
      <c r="H28" s="51">
        <f t="shared" si="1"/>
        <v>18000</v>
      </c>
    </row>
    <row r="29" spans="1:8" x14ac:dyDescent="0.25">
      <c r="A29" s="38">
        <f>+IF(B29="","",SUBTOTAL(3,$B$7:B29))</f>
        <v>23</v>
      </c>
      <c r="B29" s="50" t="s">
        <v>442</v>
      </c>
      <c r="C29" s="41">
        <v>45666</v>
      </c>
      <c r="D29" s="40" t="s">
        <v>715</v>
      </c>
      <c r="E29" s="38" t="s">
        <v>140</v>
      </c>
      <c r="F29" s="51">
        <v>1</v>
      </c>
      <c r="G29" s="51">
        <v>19500</v>
      </c>
      <c r="H29" s="51">
        <f t="shared" si="1"/>
        <v>19500</v>
      </c>
    </row>
    <row r="30" spans="1:8" x14ac:dyDescent="0.25">
      <c r="A30" s="38">
        <f>+IF(B30="","",SUBTOTAL(3,$B$7:B30))</f>
        <v>24</v>
      </c>
      <c r="B30" s="50" t="s">
        <v>442</v>
      </c>
      <c r="C30" s="41">
        <v>45666</v>
      </c>
      <c r="D30" s="40" t="s">
        <v>716</v>
      </c>
      <c r="E30" s="38" t="s">
        <v>101</v>
      </c>
      <c r="F30" s="51">
        <v>4</v>
      </c>
      <c r="G30" s="51">
        <v>4400</v>
      </c>
      <c r="H30" s="51">
        <f t="shared" si="1"/>
        <v>17600</v>
      </c>
    </row>
    <row r="31" spans="1:8" x14ac:dyDescent="0.25">
      <c r="A31" s="38">
        <f>+IF(B31="","",SUBTOTAL(3,$B$7:B31))</f>
        <v>25</v>
      </c>
      <c r="B31" s="50" t="s">
        <v>442</v>
      </c>
      <c r="C31" s="41">
        <v>45666</v>
      </c>
      <c r="D31" s="40" t="s">
        <v>862</v>
      </c>
      <c r="E31" s="38" t="s">
        <v>101</v>
      </c>
      <c r="F31" s="51">
        <v>2</v>
      </c>
      <c r="G31" s="51">
        <v>27000</v>
      </c>
      <c r="H31" s="51">
        <f t="shared" si="1"/>
        <v>54000</v>
      </c>
    </row>
    <row r="32" spans="1:8" x14ac:dyDescent="0.25">
      <c r="A32" s="38">
        <f>+IF(B32="","",SUBTOTAL(3,$B$7:B32))</f>
        <v>26</v>
      </c>
      <c r="B32" s="52" t="s">
        <v>717</v>
      </c>
      <c r="C32" s="41">
        <v>45666</v>
      </c>
      <c r="D32" s="40" t="s">
        <v>196</v>
      </c>
      <c r="E32" s="38" t="s">
        <v>101</v>
      </c>
      <c r="F32" s="51">
        <v>2</v>
      </c>
      <c r="G32" s="51">
        <v>6999</v>
      </c>
      <c r="H32" s="51">
        <f t="shared" si="1"/>
        <v>13998</v>
      </c>
    </row>
    <row r="33" spans="1:8" x14ac:dyDescent="0.25">
      <c r="A33" s="38">
        <f>+IF(B33="","",SUBTOTAL(3,$B$7:B33))</f>
        <v>27</v>
      </c>
      <c r="B33" s="52" t="s">
        <v>717</v>
      </c>
      <c r="C33" s="41">
        <v>45666</v>
      </c>
      <c r="D33" s="40" t="s">
        <v>708</v>
      </c>
      <c r="E33" s="38" t="s">
        <v>140</v>
      </c>
      <c r="F33" s="51">
        <v>2</v>
      </c>
      <c r="G33" s="51">
        <v>4000</v>
      </c>
      <c r="H33" s="51">
        <f t="shared" si="1"/>
        <v>8000</v>
      </c>
    </row>
    <row r="34" spans="1:8" ht="30" x14ac:dyDescent="0.25">
      <c r="A34" s="38">
        <f>+IF(B34="","",SUBTOTAL(3,$B$7:B34))</f>
        <v>28</v>
      </c>
      <c r="B34" s="40" t="s">
        <v>477</v>
      </c>
      <c r="C34" s="41">
        <v>45670</v>
      </c>
      <c r="D34" s="40" t="s">
        <v>188</v>
      </c>
      <c r="E34" s="38" t="s">
        <v>101</v>
      </c>
      <c r="F34" s="51">
        <v>1</v>
      </c>
      <c r="G34" s="51">
        <v>36000</v>
      </c>
      <c r="H34" s="51">
        <f t="shared" si="1"/>
        <v>36000</v>
      </c>
    </row>
    <row r="35" spans="1:8" ht="30" x14ac:dyDescent="0.25">
      <c r="A35" s="38">
        <f>+IF(B35="","",SUBTOTAL(3,$B$7:B35))</f>
        <v>29</v>
      </c>
      <c r="B35" s="40" t="s">
        <v>477</v>
      </c>
      <c r="C35" s="41">
        <v>45670</v>
      </c>
      <c r="D35" s="40" t="s">
        <v>699</v>
      </c>
      <c r="E35" s="38" t="s">
        <v>101</v>
      </c>
      <c r="F35" s="51">
        <v>5</v>
      </c>
      <c r="G35" s="51">
        <v>1111.1099999999999</v>
      </c>
      <c r="H35" s="51">
        <f t="shared" si="1"/>
        <v>5555.5499999999993</v>
      </c>
    </row>
    <row r="36" spans="1:8" ht="30" x14ac:dyDescent="0.25">
      <c r="A36" s="38">
        <f>+IF(B36="","",SUBTOTAL(3,$B$7:B36))</f>
        <v>30</v>
      </c>
      <c r="B36" s="40" t="s">
        <v>477</v>
      </c>
      <c r="C36" s="41">
        <v>45670</v>
      </c>
      <c r="D36" s="40" t="s">
        <v>700</v>
      </c>
      <c r="E36" s="38" t="s">
        <v>101</v>
      </c>
      <c r="F36" s="51">
        <v>20</v>
      </c>
      <c r="G36" s="51">
        <v>1090</v>
      </c>
      <c r="H36" s="51">
        <f t="shared" si="1"/>
        <v>21800</v>
      </c>
    </row>
    <row r="37" spans="1:8" x14ac:dyDescent="0.25">
      <c r="A37" s="38">
        <f>+IF(B37="","",SUBTOTAL(3,$B$7:B37))</f>
        <v>31</v>
      </c>
      <c r="B37" s="52" t="s">
        <v>717</v>
      </c>
      <c r="C37" s="41">
        <v>45673</v>
      </c>
      <c r="D37" s="40" t="s">
        <v>188</v>
      </c>
      <c r="E37" s="38" t="s">
        <v>101</v>
      </c>
      <c r="F37" s="51">
        <v>2</v>
      </c>
      <c r="G37" s="51">
        <v>36000</v>
      </c>
      <c r="H37" s="51">
        <f t="shared" si="1"/>
        <v>72000</v>
      </c>
    </row>
    <row r="38" spans="1:8" x14ac:dyDescent="0.25">
      <c r="A38" s="38">
        <f>+IF(B38="","",SUBTOTAL(3,$B$7:B38))</f>
        <v>32</v>
      </c>
      <c r="B38" s="52" t="s">
        <v>717</v>
      </c>
      <c r="C38" s="41">
        <v>45673</v>
      </c>
      <c r="D38" s="40" t="s">
        <v>699</v>
      </c>
      <c r="E38" s="38" t="s">
        <v>101</v>
      </c>
      <c r="F38" s="51">
        <v>6</v>
      </c>
      <c r="G38" s="51">
        <v>1111.1099999999999</v>
      </c>
      <c r="H38" s="51">
        <f t="shared" si="1"/>
        <v>6666.66</v>
      </c>
    </row>
    <row r="39" spans="1:8" x14ac:dyDescent="0.25">
      <c r="A39" s="38">
        <f>+IF(B39="","",SUBTOTAL(3,$B$7:B39))</f>
        <v>33</v>
      </c>
      <c r="B39" s="52" t="s">
        <v>717</v>
      </c>
      <c r="C39" s="41">
        <v>45673</v>
      </c>
      <c r="D39" s="40" t="s">
        <v>708</v>
      </c>
      <c r="E39" s="38" t="s">
        <v>140</v>
      </c>
      <c r="F39" s="51">
        <v>2</v>
      </c>
      <c r="G39" s="51">
        <v>4000</v>
      </c>
      <c r="H39" s="51">
        <f t="shared" si="1"/>
        <v>8000</v>
      </c>
    </row>
    <row r="40" spans="1:8" ht="30" x14ac:dyDescent="0.25">
      <c r="A40" s="38">
        <f>+IF(B40="","",SUBTOTAL(3,$B$7:B40))</f>
        <v>34</v>
      </c>
      <c r="B40" s="52" t="s">
        <v>717</v>
      </c>
      <c r="C40" s="41">
        <v>45673</v>
      </c>
      <c r="D40" s="40" t="s">
        <v>718</v>
      </c>
      <c r="E40" s="38" t="s">
        <v>101</v>
      </c>
      <c r="F40" s="51">
        <v>100</v>
      </c>
      <c r="G40" s="51">
        <v>12992</v>
      </c>
      <c r="H40" s="51">
        <f t="shared" si="1"/>
        <v>1299200</v>
      </c>
    </row>
    <row r="41" spans="1:8" x14ac:dyDescent="0.25">
      <c r="A41" s="38">
        <f>+IF(B41="","",SUBTOTAL(3,$B$7:B41))</f>
        <v>35</v>
      </c>
      <c r="B41" s="52" t="s">
        <v>705</v>
      </c>
      <c r="C41" s="41">
        <v>45688</v>
      </c>
      <c r="D41" s="40" t="s">
        <v>719</v>
      </c>
      <c r="E41" s="38" t="s">
        <v>101</v>
      </c>
      <c r="F41" s="51">
        <v>20000</v>
      </c>
      <c r="G41" s="51">
        <v>13</v>
      </c>
      <c r="H41" s="51">
        <f t="shared" si="1"/>
        <v>260000</v>
      </c>
    </row>
    <row r="42" spans="1:8" x14ac:dyDescent="0.25">
      <c r="A42" s="38">
        <f>+IF(B42="","",SUBTOTAL(3,$B$7:B42))</f>
        <v>36</v>
      </c>
      <c r="B42" s="52" t="s">
        <v>705</v>
      </c>
      <c r="C42" s="41">
        <v>45688</v>
      </c>
      <c r="D42" s="40" t="s">
        <v>720</v>
      </c>
      <c r="E42" s="38" t="s">
        <v>101</v>
      </c>
      <c r="F42" s="51">
        <v>30000</v>
      </c>
      <c r="G42" s="51">
        <v>13</v>
      </c>
      <c r="H42" s="51">
        <f t="shared" si="1"/>
        <v>390000</v>
      </c>
    </row>
    <row r="43" spans="1:8" x14ac:dyDescent="0.25">
      <c r="A43" s="38">
        <f>+IF(B43="","",SUBTOTAL(3,$B$7:B43))</f>
        <v>37</v>
      </c>
      <c r="B43" s="52" t="s">
        <v>705</v>
      </c>
      <c r="C43" s="41">
        <v>45688</v>
      </c>
      <c r="D43" s="40" t="s">
        <v>721</v>
      </c>
      <c r="E43" s="38" t="s">
        <v>101</v>
      </c>
      <c r="F43" s="51">
        <v>30000</v>
      </c>
      <c r="G43" s="51">
        <v>13</v>
      </c>
      <c r="H43" s="51">
        <f t="shared" si="1"/>
        <v>390000</v>
      </c>
    </row>
    <row r="44" spans="1:8" x14ac:dyDescent="0.25">
      <c r="A44" s="38">
        <f>+IF(B44="","",SUBTOTAL(3,$B$7:B44))</f>
        <v>38</v>
      </c>
      <c r="B44" s="52" t="s">
        <v>705</v>
      </c>
      <c r="C44" s="41">
        <v>45688</v>
      </c>
      <c r="D44" s="40" t="s">
        <v>722</v>
      </c>
      <c r="E44" s="38" t="s">
        <v>101</v>
      </c>
      <c r="F44" s="51">
        <v>30000</v>
      </c>
      <c r="G44" s="51">
        <v>13</v>
      </c>
      <c r="H44" s="51">
        <f t="shared" si="1"/>
        <v>390000</v>
      </c>
    </row>
    <row r="45" spans="1:8" x14ac:dyDescent="0.25">
      <c r="A45" s="38">
        <f>+IF(B45="","",SUBTOTAL(3,$B$7:B45))</f>
        <v>39</v>
      </c>
      <c r="B45" s="52" t="s">
        <v>705</v>
      </c>
      <c r="C45" s="41">
        <v>45688</v>
      </c>
      <c r="D45" s="40" t="s">
        <v>723</v>
      </c>
      <c r="E45" s="38" t="s">
        <v>101</v>
      </c>
      <c r="F45" s="51">
        <v>5000</v>
      </c>
      <c r="G45" s="51">
        <v>13</v>
      </c>
      <c r="H45" s="51">
        <f t="shared" si="1"/>
        <v>65000</v>
      </c>
    </row>
    <row r="46" spans="1:8" x14ac:dyDescent="0.25">
      <c r="A46" s="38">
        <f>+IF(B46="","",SUBTOTAL(3,$B$7:B46))</f>
        <v>40</v>
      </c>
      <c r="B46" s="52" t="s">
        <v>705</v>
      </c>
      <c r="C46" s="41">
        <v>45688</v>
      </c>
      <c r="D46" s="40" t="s">
        <v>724</v>
      </c>
      <c r="E46" s="38" t="s">
        <v>101</v>
      </c>
      <c r="F46" s="51">
        <v>5000</v>
      </c>
      <c r="G46" s="51">
        <v>34.950000000000003</v>
      </c>
      <c r="H46" s="51">
        <f t="shared" si="1"/>
        <v>174750</v>
      </c>
    </row>
    <row r="47" spans="1:8" x14ac:dyDescent="0.25">
      <c r="A47" s="38">
        <f>+IF(B47="","",SUBTOTAL(3,$B$7:B47))</f>
        <v>41</v>
      </c>
      <c r="B47" s="52" t="s">
        <v>705</v>
      </c>
      <c r="C47" s="41">
        <v>45688</v>
      </c>
      <c r="D47" s="40" t="s">
        <v>699</v>
      </c>
      <c r="E47" s="38" t="s">
        <v>101</v>
      </c>
      <c r="F47" s="51">
        <v>30</v>
      </c>
      <c r="G47" s="51">
        <v>1111.1099999999999</v>
      </c>
      <c r="H47" s="51">
        <f t="shared" si="1"/>
        <v>33333.299999999996</v>
      </c>
    </row>
    <row r="48" spans="1:8" ht="30" x14ac:dyDescent="0.25">
      <c r="A48" s="38">
        <f>+IF(B48="","",SUBTOTAL(3,$B$7:B48))</f>
        <v>42</v>
      </c>
      <c r="B48" s="52" t="s">
        <v>705</v>
      </c>
      <c r="C48" s="41">
        <v>45688</v>
      </c>
      <c r="D48" s="40" t="s">
        <v>725</v>
      </c>
      <c r="E48" s="38" t="s">
        <v>726</v>
      </c>
      <c r="F48" s="51">
        <v>1</v>
      </c>
      <c r="G48" s="51">
        <v>32000</v>
      </c>
      <c r="H48" s="51">
        <f t="shared" si="1"/>
        <v>32000</v>
      </c>
    </row>
    <row r="49" spans="1:8" ht="30" x14ac:dyDescent="0.25">
      <c r="A49" s="38">
        <f>+IF(B49="","",SUBTOTAL(3,$B$7:B49))</f>
        <v>43</v>
      </c>
      <c r="B49" s="52" t="s">
        <v>705</v>
      </c>
      <c r="C49" s="41">
        <v>45688</v>
      </c>
      <c r="D49" s="40" t="s">
        <v>701</v>
      </c>
      <c r="E49" s="38" t="s">
        <v>101</v>
      </c>
      <c r="F49" s="51">
        <v>10</v>
      </c>
      <c r="G49" s="51">
        <v>19600</v>
      </c>
      <c r="H49" s="51">
        <f t="shared" si="1"/>
        <v>196000</v>
      </c>
    </row>
    <row r="50" spans="1:8" ht="30" x14ac:dyDescent="0.25">
      <c r="A50" s="38">
        <f>+IF(B50="","",SUBTOTAL(3,$B$7:B50))</f>
        <v>44</v>
      </c>
      <c r="B50" s="52" t="s">
        <v>705</v>
      </c>
      <c r="C50" s="41">
        <v>45688</v>
      </c>
      <c r="D50" s="40" t="s">
        <v>727</v>
      </c>
      <c r="E50" s="38" t="s">
        <v>101</v>
      </c>
      <c r="F50" s="51">
        <v>4</v>
      </c>
      <c r="G50" s="51">
        <v>4800</v>
      </c>
      <c r="H50" s="51">
        <f t="shared" si="1"/>
        <v>19200</v>
      </c>
    </row>
    <row r="51" spans="1:8" ht="30" x14ac:dyDescent="0.25">
      <c r="A51" s="38">
        <f>+IF(B51="","",SUBTOTAL(3,$B$7:B51))</f>
        <v>45</v>
      </c>
      <c r="B51" s="52" t="s">
        <v>705</v>
      </c>
      <c r="C51" s="41">
        <v>45688</v>
      </c>
      <c r="D51" s="40" t="s">
        <v>728</v>
      </c>
      <c r="E51" s="38" t="s">
        <v>101</v>
      </c>
      <c r="F51" s="51">
        <v>500</v>
      </c>
      <c r="G51" s="51">
        <v>145</v>
      </c>
      <c r="H51" s="51">
        <f t="shared" si="1"/>
        <v>72500</v>
      </c>
    </row>
    <row r="52" spans="1:8" ht="30" x14ac:dyDescent="0.25">
      <c r="A52" s="38">
        <f>+IF(B52="","",SUBTOTAL(3,$B$7:B52))</f>
        <v>46</v>
      </c>
      <c r="B52" s="52" t="s">
        <v>442</v>
      </c>
      <c r="C52" s="41">
        <v>45688</v>
      </c>
      <c r="D52" s="40" t="s">
        <v>727</v>
      </c>
      <c r="E52" s="38" t="s">
        <v>101</v>
      </c>
      <c r="F52" s="51">
        <v>8</v>
      </c>
      <c r="G52" s="51">
        <v>4800</v>
      </c>
      <c r="H52" s="51">
        <f t="shared" si="1"/>
        <v>38400</v>
      </c>
    </row>
    <row r="53" spans="1:8" x14ac:dyDescent="0.25">
      <c r="A53" s="38">
        <f>+IF(B53="","",SUBTOTAL(3,$B$7:B53))</f>
        <v>47</v>
      </c>
      <c r="B53" s="52" t="s">
        <v>442</v>
      </c>
      <c r="C53" s="41">
        <v>45688</v>
      </c>
      <c r="D53" s="40" t="s">
        <v>714</v>
      </c>
      <c r="E53" s="38" t="s">
        <v>101</v>
      </c>
      <c r="F53" s="51">
        <v>1</v>
      </c>
      <c r="G53" s="51">
        <v>20000</v>
      </c>
      <c r="H53" s="51">
        <f t="shared" si="1"/>
        <v>20000</v>
      </c>
    </row>
    <row r="54" spans="1:8" x14ac:dyDescent="0.25">
      <c r="A54" s="38">
        <f>+IF(B54="","",SUBTOTAL(3,$B$7:B54))</f>
        <v>48</v>
      </c>
      <c r="B54" s="52" t="s">
        <v>442</v>
      </c>
      <c r="C54" s="41">
        <v>45688</v>
      </c>
      <c r="D54" s="40" t="s">
        <v>713</v>
      </c>
      <c r="E54" s="38" t="s">
        <v>101</v>
      </c>
      <c r="F54" s="51">
        <v>1</v>
      </c>
      <c r="G54" s="51">
        <v>32888</v>
      </c>
      <c r="H54" s="51">
        <f t="shared" si="1"/>
        <v>32888</v>
      </c>
    </row>
    <row r="55" spans="1:8" ht="45" x14ac:dyDescent="0.25">
      <c r="A55" s="38">
        <f>+IF(B55="","",SUBTOTAL(3,$B$7:B55))</f>
        <v>49</v>
      </c>
      <c r="B55" s="52" t="s">
        <v>442</v>
      </c>
      <c r="C55" s="41">
        <v>45688</v>
      </c>
      <c r="D55" s="40" t="s">
        <v>861</v>
      </c>
      <c r="E55" s="38" t="s">
        <v>101</v>
      </c>
      <c r="F55" s="51">
        <v>2</v>
      </c>
      <c r="G55" s="51">
        <v>9000</v>
      </c>
      <c r="H55" s="51">
        <f t="shared" si="1"/>
        <v>18000</v>
      </c>
    </row>
    <row r="56" spans="1:8" x14ac:dyDescent="0.25">
      <c r="A56" s="38">
        <f>+IF(B56="","",SUBTOTAL(3,$B$7:B56))</f>
        <v>50</v>
      </c>
      <c r="B56" s="52" t="s">
        <v>442</v>
      </c>
      <c r="C56" s="41">
        <v>45688</v>
      </c>
      <c r="D56" s="40" t="s">
        <v>715</v>
      </c>
      <c r="E56" s="38" t="s">
        <v>140</v>
      </c>
      <c r="F56" s="51">
        <v>1</v>
      </c>
      <c r="G56" s="51">
        <v>19500</v>
      </c>
      <c r="H56" s="51">
        <f t="shared" si="1"/>
        <v>19500</v>
      </c>
    </row>
    <row r="57" spans="1:8" x14ac:dyDescent="0.25">
      <c r="A57" s="38">
        <f>+IF(B57="","",SUBTOTAL(3,$B$7:B57))</f>
        <v>51</v>
      </c>
      <c r="B57" s="52" t="s">
        <v>442</v>
      </c>
      <c r="C57" s="41">
        <v>45688</v>
      </c>
      <c r="D57" s="40" t="s">
        <v>729</v>
      </c>
      <c r="E57" s="38" t="s">
        <v>101</v>
      </c>
      <c r="F57" s="51">
        <v>1</v>
      </c>
      <c r="G57" s="51">
        <v>55000</v>
      </c>
      <c r="H57" s="51">
        <f t="shared" si="1"/>
        <v>55000</v>
      </c>
    </row>
    <row r="58" spans="1:8" x14ac:dyDescent="0.25">
      <c r="A58" s="38">
        <f>+IF(B58="","",SUBTOTAL(3,$B$7:B58))</f>
        <v>52</v>
      </c>
      <c r="B58" s="52" t="s">
        <v>442</v>
      </c>
      <c r="C58" s="41">
        <v>45688</v>
      </c>
      <c r="D58" s="40" t="s">
        <v>730</v>
      </c>
      <c r="E58" s="38" t="s">
        <v>101</v>
      </c>
      <c r="F58" s="51">
        <v>2</v>
      </c>
      <c r="G58" s="51">
        <v>23000</v>
      </c>
      <c r="H58" s="51">
        <f t="shared" si="1"/>
        <v>46000</v>
      </c>
    </row>
    <row r="59" spans="1:8" x14ac:dyDescent="0.25">
      <c r="A59" s="38">
        <f>+IF(B59="","",SUBTOTAL(3,$B$7:B59))</f>
        <v>53</v>
      </c>
      <c r="B59" s="52" t="s">
        <v>442</v>
      </c>
      <c r="C59" s="41">
        <v>45688</v>
      </c>
      <c r="D59" s="40" t="s">
        <v>143</v>
      </c>
      <c r="E59" s="38" t="s">
        <v>144</v>
      </c>
      <c r="F59" s="51">
        <v>5</v>
      </c>
      <c r="G59" s="51">
        <v>6300</v>
      </c>
      <c r="H59" s="51">
        <f t="shared" si="1"/>
        <v>31500</v>
      </c>
    </row>
    <row r="60" spans="1:8" x14ac:dyDescent="0.25">
      <c r="A60" s="38">
        <f>+IF(B60="","",SUBTOTAL(3,$B$7:B60))</f>
        <v>54</v>
      </c>
      <c r="B60" s="52" t="s">
        <v>442</v>
      </c>
      <c r="C60" s="41">
        <v>45688</v>
      </c>
      <c r="D60" s="40" t="s">
        <v>731</v>
      </c>
      <c r="E60" s="38" t="s">
        <v>101</v>
      </c>
      <c r="F60" s="51">
        <v>4</v>
      </c>
      <c r="G60" s="51">
        <v>5500</v>
      </c>
      <c r="H60" s="51">
        <f t="shared" si="1"/>
        <v>22000</v>
      </c>
    </row>
    <row r="61" spans="1:8" x14ac:dyDescent="0.25">
      <c r="A61" s="38">
        <f>+IF(B61="","",SUBTOTAL(3,$B$7:B61))</f>
        <v>55</v>
      </c>
      <c r="B61" s="52" t="s">
        <v>442</v>
      </c>
      <c r="C61" s="41">
        <v>45688</v>
      </c>
      <c r="D61" s="40" t="s">
        <v>712</v>
      </c>
      <c r="E61" s="38" t="s">
        <v>101</v>
      </c>
      <c r="F61" s="51">
        <v>5</v>
      </c>
      <c r="G61" s="51">
        <v>8800</v>
      </c>
      <c r="H61" s="51">
        <f t="shared" si="1"/>
        <v>44000</v>
      </c>
    </row>
    <row r="62" spans="1:8" x14ac:dyDescent="0.25">
      <c r="A62" s="38">
        <f>+IF(B62="","",SUBTOTAL(3,$B$7:B62))</f>
        <v>56</v>
      </c>
      <c r="B62" s="52" t="s">
        <v>442</v>
      </c>
      <c r="C62" s="41">
        <v>45688</v>
      </c>
      <c r="D62" s="40" t="s">
        <v>732</v>
      </c>
      <c r="E62" s="38" t="s">
        <v>132</v>
      </c>
      <c r="F62" s="51">
        <v>4</v>
      </c>
      <c r="G62" s="51">
        <v>5454</v>
      </c>
      <c r="H62" s="51">
        <f t="shared" si="1"/>
        <v>21816</v>
      </c>
    </row>
    <row r="63" spans="1:8" ht="30" x14ac:dyDescent="0.25">
      <c r="A63" s="38">
        <f>+IF(B63="","",SUBTOTAL(3,$B$7:B63))</f>
        <v>57</v>
      </c>
      <c r="B63" s="52" t="s">
        <v>442</v>
      </c>
      <c r="C63" s="41">
        <v>45688</v>
      </c>
      <c r="D63" s="40" t="s">
        <v>733</v>
      </c>
      <c r="E63" s="38" t="s">
        <v>101</v>
      </c>
      <c r="F63" s="51">
        <v>8</v>
      </c>
      <c r="G63" s="51">
        <v>6250</v>
      </c>
      <c r="H63" s="51">
        <f t="shared" si="1"/>
        <v>50000</v>
      </c>
    </row>
    <row r="64" spans="1:8" ht="30" x14ac:dyDescent="0.25">
      <c r="A64" s="38">
        <f>+IF(B64="","",SUBTOTAL(3,$B$7:B64))</f>
        <v>58</v>
      </c>
      <c r="B64" s="52" t="s">
        <v>442</v>
      </c>
      <c r="C64" s="41">
        <v>45688</v>
      </c>
      <c r="D64" s="40" t="s">
        <v>734</v>
      </c>
      <c r="E64" s="38" t="s">
        <v>707</v>
      </c>
      <c r="F64" s="51">
        <v>8</v>
      </c>
      <c r="G64" s="51">
        <v>5941</v>
      </c>
      <c r="H64" s="51">
        <f t="shared" si="1"/>
        <v>47528</v>
      </c>
    </row>
    <row r="65" spans="1:8" ht="30" x14ac:dyDescent="0.25">
      <c r="A65" s="38">
        <f>+IF(B65="","",SUBTOTAL(3,$B$7:B65))</f>
        <v>59</v>
      </c>
      <c r="B65" s="52" t="s">
        <v>442</v>
      </c>
      <c r="C65" s="41">
        <v>45688</v>
      </c>
      <c r="D65" s="40" t="s">
        <v>863</v>
      </c>
      <c r="E65" s="38" t="s">
        <v>726</v>
      </c>
      <c r="F65" s="51">
        <v>2</v>
      </c>
      <c r="G65" s="51">
        <v>7896</v>
      </c>
      <c r="H65" s="51">
        <f t="shared" si="1"/>
        <v>15792</v>
      </c>
    </row>
    <row r="66" spans="1:8" x14ac:dyDescent="0.25">
      <c r="A66" s="38">
        <f>+IF(B66="","",SUBTOTAL(3,$B$7:B66))</f>
        <v>60</v>
      </c>
      <c r="B66" s="52" t="s">
        <v>442</v>
      </c>
      <c r="C66" s="41">
        <v>45688</v>
      </c>
      <c r="D66" s="40" t="s">
        <v>188</v>
      </c>
      <c r="E66" s="38" t="s">
        <v>101</v>
      </c>
      <c r="F66" s="51">
        <v>1</v>
      </c>
      <c r="G66" s="51">
        <v>36000</v>
      </c>
      <c r="H66" s="51">
        <f t="shared" si="1"/>
        <v>36000</v>
      </c>
    </row>
    <row r="67" spans="1:8" ht="30" x14ac:dyDescent="0.25">
      <c r="A67" s="38">
        <f>+IF(B67="","",SUBTOTAL(3,$B$7:B67))</f>
        <v>61</v>
      </c>
      <c r="B67" s="52" t="s">
        <v>698</v>
      </c>
      <c r="C67" s="41">
        <v>45688</v>
      </c>
      <c r="D67" s="40" t="s">
        <v>735</v>
      </c>
      <c r="E67" s="38" t="s">
        <v>101</v>
      </c>
      <c r="F67" s="51">
        <v>1</v>
      </c>
      <c r="G67" s="51">
        <v>280720</v>
      </c>
      <c r="H67" s="51">
        <f t="shared" si="1"/>
        <v>280720</v>
      </c>
    </row>
    <row r="68" spans="1:8" ht="60" x14ac:dyDescent="0.25">
      <c r="A68" s="38">
        <f>+IF(B68="","",SUBTOTAL(3,$B$7:B68))</f>
        <v>62</v>
      </c>
      <c r="B68" s="40" t="s">
        <v>484</v>
      </c>
      <c r="C68" s="41">
        <v>45691</v>
      </c>
      <c r="D68" s="40" t="s">
        <v>188</v>
      </c>
      <c r="E68" s="38" t="s">
        <v>101</v>
      </c>
      <c r="F68" s="51">
        <v>2</v>
      </c>
      <c r="G68" s="51">
        <v>36000</v>
      </c>
      <c r="H68" s="51">
        <f t="shared" si="1"/>
        <v>72000</v>
      </c>
    </row>
    <row r="69" spans="1:8" ht="60" x14ac:dyDescent="0.25">
      <c r="A69" s="38">
        <f>+IF(B69="","",SUBTOTAL(3,$B$7:B69))</f>
        <v>63</v>
      </c>
      <c r="B69" s="40" t="s">
        <v>484</v>
      </c>
      <c r="C69" s="41">
        <v>45691</v>
      </c>
      <c r="D69" s="40" t="s">
        <v>709</v>
      </c>
      <c r="E69" s="38" t="s">
        <v>101</v>
      </c>
      <c r="F69" s="51">
        <v>2</v>
      </c>
      <c r="G69" s="51">
        <v>10000</v>
      </c>
      <c r="H69" s="51">
        <f t="shared" si="1"/>
        <v>20000</v>
      </c>
    </row>
    <row r="70" spans="1:8" ht="60" x14ac:dyDescent="0.25">
      <c r="A70" s="38">
        <f>+IF(B70="","",SUBTOTAL(3,$B$7:B70))</f>
        <v>64</v>
      </c>
      <c r="B70" s="40" t="s">
        <v>484</v>
      </c>
      <c r="C70" s="41">
        <v>45691</v>
      </c>
      <c r="D70" s="40" t="s">
        <v>736</v>
      </c>
      <c r="E70" s="38" t="s">
        <v>140</v>
      </c>
      <c r="F70" s="51">
        <v>4</v>
      </c>
      <c r="G70" s="51">
        <v>4000</v>
      </c>
      <c r="H70" s="51">
        <f t="shared" si="1"/>
        <v>16000</v>
      </c>
    </row>
    <row r="71" spans="1:8" ht="45" x14ac:dyDescent="0.25">
      <c r="A71" s="38">
        <f>+IF(B71="","",SUBTOTAL(3,$B$7:B71))</f>
        <v>65</v>
      </c>
      <c r="B71" s="40" t="s">
        <v>737</v>
      </c>
      <c r="C71" s="41">
        <v>45691</v>
      </c>
      <c r="D71" s="40" t="s">
        <v>188</v>
      </c>
      <c r="E71" s="38" t="s">
        <v>101</v>
      </c>
      <c r="F71" s="51">
        <v>1</v>
      </c>
      <c r="G71" s="51">
        <v>36000</v>
      </c>
      <c r="H71" s="51">
        <f t="shared" si="1"/>
        <v>36000</v>
      </c>
    </row>
    <row r="72" spans="1:8" ht="45" x14ac:dyDescent="0.25">
      <c r="A72" s="38">
        <f>+IF(B72="","",SUBTOTAL(3,$B$7:B72))</f>
        <v>66</v>
      </c>
      <c r="B72" s="40" t="s">
        <v>737</v>
      </c>
      <c r="C72" s="41">
        <v>45691</v>
      </c>
      <c r="D72" s="40" t="s">
        <v>699</v>
      </c>
      <c r="E72" s="38" t="s">
        <v>101</v>
      </c>
      <c r="F72" s="51">
        <v>5</v>
      </c>
      <c r="G72" s="51">
        <v>1111.1099999999999</v>
      </c>
      <c r="H72" s="51">
        <f t="shared" ref="H72:H138" si="2">+SUM(F72*G72)</f>
        <v>5555.5499999999993</v>
      </c>
    </row>
    <row r="73" spans="1:8" ht="45" x14ac:dyDescent="0.25">
      <c r="A73" s="38">
        <f>+IF(B73="","",SUBTOTAL(3,$B$7:B73))</f>
        <v>67</v>
      </c>
      <c r="B73" s="40" t="s">
        <v>737</v>
      </c>
      <c r="C73" s="41">
        <v>45691</v>
      </c>
      <c r="D73" s="40" t="s">
        <v>738</v>
      </c>
      <c r="E73" s="38" t="s">
        <v>101</v>
      </c>
      <c r="F73" s="51">
        <v>2</v>
      </c>
      <c r="G73" s="51">
        <v>900</v>
      </c>
      <c r="H73" s="51">
        <f t="shared" si="2"/>
        <v>1800</v>
      </c>
    </row>
    <row r="74" spans="1:8" ht="45" x14ac:dyDescent="0.25">
      <c r="A74" s="38">
        <f>+IF(B74="","",SUBTOTAL(3,$B$7:B74))</f>
        <v>68</v>
      </c>
      <c r="B74" s="40" t="s">
        <v>737</v>
      </c>
      <c r="C74" s="41">
        <v>45691</v>
      </c>
      <c r="D74" s="40" t="s">
        <v>709</v>
      </c>
      <c r="E74" s="38" t="s">
        <v>101</v>
      </c>
      <c r="F74" s="51">
        <v>2</v>
      </c>
      <c r="G74" s="51">
        <v>10000</v>
      </c>
      <c r="H74" s="51">
        <f t="shared" si="2"/>
        <v>20000</v>
      </c>
    </row>
    <row r="75" spans="1:8" ht="60" x14ac:dyDescent="0.25">
      <c r="A75" s="38">
        <f>+IF(B75="","",SUBTOTAL(3,$B$7:B75))</f>
        <v>69</v>
      </c>
      <c r="B75" s="40" t="s">
        <v>484</v>
      </c>
      <c r="C75" s="41">
        <v>45693</v>
      </c>
      <c r="D75" s="40" t="s">
        <v>739</v>
      </c>
      <c r="E75" s="38" t="s">
        <v>101</v>
      </c>
      <c r="F75" s="51">
        <v>1</v>
      </c>
      <c r="G75" s="51">
        <v>81000</v>
      </c>
      <c r="H75" s="51">
        <f t="shared" si="2"/>
        <v>81000</v>
      </c>
    </row>
    <row r="76" spans="1:8" x14ac:dyDescent="0.25">
      <c r="A76" s="38">
        <f>+IF(B76="","",SUBTOTAL(3,$B$7:B76))</f>
        <v>70</v>
      </c>
      <c r="B76" s="40" t="s">
        <v>705</v>
      </c>
      <c r="C76" s="41">
        <v>45698</v>
      </c>
      <c r="D76" s="40" t="s">
        <v>229</v>
      </c>
      <c r="E76" s="38" t="s">
        <v>144</v>
      </c>
      <c r="F76" s="51">
        <v>20</v>
      </c>
      <c r="G76" s="51">
        <v>26500</v>
      </c>
      <c r="H76" s="51">
        <f t="shared" si="2"/>
        <v>530000</v>
      </c>
    </row>
    <row r="77" spans="1:8" x14ac:dyDescent="0.25">
      <c r="A77" s="38">
        <f>+IF(B77="","",SUBTOTAL(3,$B$7:B77))</f>
        <v>71</v>
      </c>
      <c r="B77" s="40" t="s">
        <v>705</v>
      </c>
      <c r="C77" s="41">
        <v>45698</v>
      </c>
      <c r="D77" s="40" t="s">
        <v>706</v>
      </c>
      <c r="E77" s="38" t="s">
        <v>707</v>
      </c>
      <c r="F77" s="51">
        <v>10</v>
      </c>
      <c r="G77" s="51">
        <v>9900</v>
      </c>
      <c r="H77" s="51">
        <f t="shared" si="2"/>
        <v>99000</v>
      </c>
    </row>
    <row r="78" spans="1:8" x14ac:dyDescent="0.25">
      <c r="A78" s="38">
        <f>+IF(B78="","",SUBTOTAL(3,$B$7:B78))</f>
        <v>72</v>
      </c>
      <c r="B78" s="40" t="s">
        <v>698</v>
      </c>
      <c r="C78" s="41">
        <v>45698</v>
      </c>
      <c r="D78" s="40" t="s">
        <v>699</v>
      </c>
      <c r="E78" s="38" t="s">
        <v>101</v>
      </c>
      <c r="F78" s="51">
        <v>4</v>
      </c>
      <c r="G78" s="51">
        <v>1111.1099999999999</v>
      </c>
      <c r="H78" s="51">
        <f t="shared" si="2"/>
        <v>4444.4399999999996</v>
      </c>
    </row>
    <row r="79" spans="1:8" x14ac:dyDescent="0.25">
      <c r="A79" s="38">
        <f>+IF(B79="","",SUBTOTAL(3,$B$7:B79))</f>
        <v>73</v>
      </c>
      <c r="B79" s="40" t="s">
        <v>698</v>
      </c>
      <c r="C79" s="41">
        <v>45698</v>
      </c>
      <c r="D79" s="40" t="s">
        <v>740</v>
      </c>
      <c r="E79" s="38" t="s">
        <v>741</v>
      </c>
      <c r="F79" s="51">
        <v>20</v>
      </c>
      <c r="G79" s="51">
        <v>23000</v>
      </c>
      <c r="H79" s="51">
        <f t="shared" si="2"/>
        <v>460000</v>
      </c>
    </row>
    <row r="80" spans="1:8" x14ac:dyDescent="0.25">
      <c r="A80" s="38">
        <f>+IF(B80="","",SUBTOTAL(3,$B$7:B80))</f>
        <v>74</v>
      </c>
      <c r="B80" s="40" t="s">
        <v>698</v>
      </c>
      <c r="C80" s="41">
        <v>45698</v>
      </c>
      <c r="D80" s="40" t="s">
        <v>702</v>
      </c>
      <c r="E80" s="38" t="s">
        <v>741</v>
      </c>
      <c r="F80" s="51">
        <v>20</v>
      </c>
      <c r="G80" s="51">
        <v>23000</v>
      </c>
      <c r="H80" s="51">
        <f t="shared" si="2"/>
        <v>460000</v>
      </c>
    </row>
    <row r="81" spans="1:8" x14ac:dyDescent="0.25">
      <c r="A81" s="38">
        <f>+IF(B81="","",SUBTOTAL(3,$B$7:B81))</f>
        <v>75</v>
      </c>
      <c r="B81" s="40" t="s">
        <v>698</v>
      </c>
      <c r="C81" s="41">
        <v>45698</v>
      </c>
      <c r="D81" s="40" t="s">
        <v>188</v>
      </c>
      <c r="E81" s="38" t="s">
        <v>101</v>
      </c>
      <c r="F81" s="51">
        <v>1</v>
      </c>
      <c r="G81" s="51">
        <v>36000</v>
      </c>
      <c r="H81" s="51">
        <f t="shared" si="2"/>
        <v>36000</v>
      </c>
    </row>
    <row r="82" spans="1:8" x14ac:dyDescent="0.25">
      <c r="A82" s="38">
        <f>+IF(B82="","",SUBTOTAL(3,$B$7:B82))</f>
        <v>76</v>
      </c>
      <c r="B82" s="40" t="s">
        <v>698</v>
      </c>
      <c r="C82" s="41">
        <v>45698</v>
      </c>
      <c r="D82" s="40" t="s">
        <v>700</v>
      </c>
      <c r="E82" s="38" t="s">
        <v>101</v>
      </c>
      <c r="F82" s="51">
        <v>40</v>
      </c>
      <c r="G82" s="51">
        <v>1090</v>
      </c>
      <c r="H82" s="51">
        <f t="shared" si="2"/>
        <v>43600</v>
      </c>
    </row>
    <row r="83" spans="1:8" x14ac:dyDescent="0.25">
      <c r="A83" s="38">
        <f>+IF(B83="","",SUBTOTAL(3,$B$7:B83))</f>
        <v>77</v>
      </c>
      <c r="B83" s="40" t="s">
        <v>698</v>
      </c>
      <c r="C83" s="41">
        <v>45698</v>
      </c>
      <c r="D83" s="40" t="s">
        <v>703</v>
      </c>
      <c r="E83" s="38" t="s">
        <v>101</v>
      </c>
      <c r="F83" s="51">
        <v>2</v>
      </c>
      <c r="G83" s="51">
        <v>9500</v>
      </c>
      <c r="H83" s="51">
        <f t="shared" si="2"/>
        <v>19000</v>
      </c>
    </row>
    <row r="84" spans="1:8" ht="30" x14ac:dyDescent="0.25">
      <c r="A84" s="38">
        <f>+IF(B84="","",SUBTOTAL(3,$B$7:B84))</f>
        <v>78</v>
      </c>
      <c r="B84" s="40" t="s">
        <v>698</v>
      </c>
      <c r="C84" s="41">
        <v>45698</v>
      </c>
      <c r="D84" s="40" t="s">
        <v>701</v>
      </c>
      <c r="E84" s="38" t="s">
        <v>101</v>
      </c>
      <c r="F84" s="51">
        <v>2</v>
      </c>
      <c r="G84" s="51">
        <v>19600</v>
      </c>
      <c r="H84" s="51">
        <f t="shared" si="2"/>
        <v>39200</v>
      </c>
    </row>
    <row r="85" spans="1:8" x14ac:dyDescent="0.25">
      <c r="A85" s="38">
        <f>+IF(B85="","",SUBTOTAL(3,$B$7:B85))</f>
        <v>79</v>
      </c>
      <c r="B85" s="40" t="s">
        <v>492</v>
      </c>
      <c r="C85" s="53">
        <v>45701</v>
      </c>
      <c r="D85" s="54" t="s">
        <v>742</v>
      </c>
      <c r="E85" s="38" t="s">
        <v>101</v>
      </c>
      <c r="F85" s="51">
        <v>12</v>
      </c>
      <c r="G85" s="51">
        <v>8137.92</v>
      </c>
      <c r="H85" s="51">
        <f t="shared" si="2"/>
        <v>97655.040000000008</v>
      </c>
    </row>
    <row r="86" spans="1:8" x14ac:dyDescent="0.25">
      <c r="A86" s="38">
        <f>+IF(B86="","",SUBTOTAL(3,$B$7:B86))</f>
        <v>80</v>
      </c>
      <c r="B86" s="40" t="s">
        <v>492</v>
      </c>
      <c r="C86" s="53">
        <v>45701</v>
      </c>
      <c r="D86" s="54" t="s">
        <v>743</v>
      </c>
      <c r="E86" s="38" t="s">
        <v>101</v>
      </c>
      <c r="F86" s="51">
        <v>12</v>
      </c>
      <c r="G86" s="51">
        <v>8137.92</v>
      </c>
      <c r="H86" s="51">
        <f t="shared" si="2"/>
        <v>97655.040000000008</v>
      </c>
    </row>
    <row r="87" spans="1:8" x14ac:dyDescent="0.25">
      <c r="A87" s="38">
        <f>+IF(B87="","",SUBTOTAL(3,$B$7:B87))</f>
        <v>81</v>
      </c>
      <c r="B87" s="40" t="s">
        <v>492</v>
      </c>
      <c r="C87" s="53">
        <v>45701</v>
      </c>
      <c r="D87" s="54" t="s">
        <v>744</v>
      </c>
      <c r="E87" s="38" t="s">
        <v>101</v>
      </c>
      <c r="F87" s="51">
        <v>12</v>
      </c>
      <c r="G87" s="51">
        <v>3407.04</v>
      </c>
      <c r="H87" s="51">
        <f t="shared" si="2"/>
        <v>40884.479999999996</v>
      </c>
    </row>
    <row r="88" spans="1:8" ht="30" x14ac:dyDescent="0.25">
      <c r="A88" s="38">
        <f>+IF(B88="","",SUBTOTAL(3,$B$7:B88))</f>
        <v>82</v>
      </c>
      <c r="B88" s="40" t="s">
        <v>492</v>
      </c>
      <c r="C88" s="53">
        <v>45701</v>
      </c>
      <c r="D88" s="54" t="s">
        <v>745</v>
      </c>
      <c r="E88" s="38" t="s">
        <v>101</v>
      </c>
      <c r="F88" s="51">
        <v>6</v>
      </c>
      <c r="G88" s="51">
        <v>20246.240000000002</v>
      </c>
      <c r="H88" s="51">
        <f t="shared" si="2"/>
        <v>121477.44</v>
      </c>
    </row>
    <row r="89" spans="1:8" x14ac:dyDescent="0.25">
      <c r="A89" s="38">
        <f>+IF(B89="","",SUBTOTAL(3,$B$7:B89))</f>
        <v>83</v>
      </c>
      <c r="B89" s="40" t="s">
        <v>492</v>
      </c>
      <c r="C89" s="53">
        <v>45701</v>
      </c>
      <c r="D89" s="40" t="s">
        <v>700</v>
      </c>
      <c r="E89" s="38" t="s">
        <v>101</v>
      </c>
      <c r="F89" s="51">
        <v>5</v>
      </c>
      <c r="G89" s="51">
        <v>1090</v>
      </c>
      <c r="H89" s="51">
        <f t="shared" si="2"/>
        <v>5450</v>
      </c>
    </row>
    <row r="90" spans="1:8" x14ac:dyDescent="0.25">
      <c r="A90" s="38">
        <f>+IF(B90="","",SUBTOTAL(3,$B$7:B90))</f>
        <v>84</v>
      </c>
      <c r="B90" s="40" t="s">
        <v>492</v>
      </c>
      <c r="C90" s="53">
        <v>45701</v>
      </c>
      <c r="D90" s="40" t="s">
        <v>188</v>
      </c>
      <c r="E90" s="38" t="s">
        <v>101</v>
      </c>
      <c r="F90" s="51">
        <v>1</v>
      </c>
      <c r="G90" s="51">
        <v>36000</v>
      </c>
      <c r="H90" s="51">
        <f t="shared" si="2"/>
        <v>36000</v>
      </c>
    </row>
    <row r="91" spans="1:8" x14ac:dyDescent="0.25">
      <c r="A91" s="38">
        <f>+IF(B91="","",SUBTOTAL(3,$B$7:B91))</f>
        <v>85</v>
      </c>
      <c r="B91" s="40" t="s">
        <v>492</v>
      </c>
      <c r="C91" s="53">
        <v>45701</v>
      </c>
      <c r="D91" s="40" t="s">
        <v>699</v>
      </c>
      <c r="E91" s="38" t="s">
        <v>101</v>
      </c>
      <c r="F91" s="51">
        <v>2</v>
      </c>
      <c r="G91" s="51">
        <v>1111.1099999999999</v>
      </c>
      <c r="H91" s="51">
        <f t="shared" si="2"/>
        <v>2222.2199999999998</v>
      </c>
    </row>
    <row r="92" spans="1:8" x14ac:dyDescent="0.25">
      <c r="A92" s="38">
        <f>+IF(B92="","",SUBTOTAL(3,$B$7:B92))</f>
        <v>86</v>
      </c>
      <c r="B92" s="40" t="s">
        <v>492</v>
      </c>
      <c r="C92" s="53">
        <v>45701</v>
      </c>
      <c r="D92" s="40" t="s">
        <v>208</v>
      </c>
      <c r="E92" s="38" t="s">
        <v>101</v>
      </c>
      <c r="F92" s="51">
        <v>1</v>
      </c>
      <c r="G92" s="51">
        <v>3333.33</v>
      </c>
      <c r="H92" s="51">
        <f t="shared" si="2"/>
        <v>3333.33</v>
      </c>
    </row>
    <row r="93" spans="1:8" x14ac:dyDescent="0.25">
      <c r="A93" s="38">
        <f>+IF(B93="","",SUBTOTAL(3,$B$7:B93))</f>
        <v>87</v>
      </c>
      <c r="B93" s="40" t="s">
        <v>492</v>
      </c>
      <c r="C93" s="53">
        <v>45701</v>
      </c>
      <c r="D93" s="40" t="s">
        <v>746</v>
      </c>
      <c r="E93" s="38" t="s">
        <v>101</v>
      </c>
      <c r="F93" s="51">
        <v>1</v>
      </c>
      <c r="G93" s="51">
        <v>3000</v>
      </c>
      <c r="H93" s="51">
        <f t="shared" si="2"/>
        <v>3000</v>
      </c>
    </row>
    <row r="94" spans="1:8" x14ac:dyDescent="0.25">
      <c r="A94" s="38">
        <f>+IF(B94="","",SUBTOTAL(3,$B$7:B94))</f>
        <v>88</v>
      </c>
      <c r="B94" s="40" t="s">
        <v>451</v>
      </c>
      <c r="C94" s="53">
        <v>45702</v>
      </c>
      <c r="D94" s="40" t="s">
        <v>747</v>
      </c>
      <c r="E94" s="38" t="s">
        <v>101</v>
      </c>
      <c r="F94" s="51">
        <v>100</v>
      </c>
      <c r="G94" s="51">
        <v>7400</v>
      </c>
      <c r="H94" s="51">
        <f t="shared" si="2"/>
        <v>740000</v>
      </c>
    </row>
    <row r="95" spans="1:8" x14ac:dyDescent="0.25">
      <c r="A95" s="38">
        <f>+IF(B95="","",SUBTOTAL(3,$B$7:B95))</f>
        <v>89</v>
      </c>
      <c r="B95" s="40" t="s">
        <v>451</v>
      </c>
      <c r="C95" s="53">
        <v>45702</v>
      </c>
      <c r="D95" s="40" t="s">
        <v>748</v>
      </c>
      <c r="E95" s="38" t="s">
        <v>101</v>
      </c>
      <c r="F95" s="51">
        <v>100</v>
      </c>
      <c r="G95" s="51">
        <v>400</v>
      </c>
      <c r="H95" s="51">
        <f t="shared" si="2"/>
        <v>40000</v>
      </c>
    </row>
    <row r="96" spans="1:8" x14ac:dyDescent="0.25">
      <c r="A96" s="38">
        <f>+IF(B96="","",SUBTOTAL(3,$B$7:B96))</f>
        <v>90</v>
      </c>
      <c r="B96" s="40" t="s">
        <v>451</v>
      </c>
      <c r="C96" s="53">
        <v>45702</v>
      </c>
      <c r="D96" s="40" t="s">
        <v>749</v>
      </c>
      <c r="E96" s="38" t="s">
        <v>101</v>
      </c>
      <c r="F96" s="51">
        <v>100</v>
      </c>
      <c r="G96" s="51">
        <v>600</v>
      </c>
      <c r="H96" s="51">
        <f t="shared" si="2"/>
        <v>60000</v>
      </c>
    </row>
    <row r="97" spans="1:8" x14ac:dyDescent="0.25">
      <c r="A97" s="38">
        <f>+IF(B97="","",SUBTOTAL(3,$B$7:B97))</f>
        <v>91</v>
      </c>
      <c r="B97" s="40" t="s">
        <v>705</v>
      </c>
      <c r="C97" s="53">
        <v>45705</v>
      </c>
      <c r="D97" s="40" t="s">
        <v>100</v>
      </c>
      <c r="E97" s="38" t="s">
        <v>101</v>
      </c>
      <c r="F97" s="51">
        <v>20000</v>
      </c>
      <c r="G97" s="51">
        <v>140</v>
      </c>
      <c r="H97" s="51">
        <f t="shared" si="2"/>
        <v>2800000</v>
      </c>
    </row>
    <row r="98" spans="1:8" ht="30" x14ac:dyDescent="0.25">
      <c r="A98" s="38">
        <f>+IF(B98="","",SUBTOTAL(3,$B$7:B98))</f>
        <v>92</v>
      </c>
      <c r="B98" s="40" t="s">
        <v>705</v>
      </c>
      <c r="C98" s="53">
        <v>45705</v>
      </c>
      <c r="D98" s="40" t="s">
        <v>750</v>
      </c>
      <c r="E98" s="38" t="s">
        <v>101</v>
      </c>
      <c r="F98" s="51">
        <v>10</v>
      </c>
      <c r="G98" s="51">
        <v>35000</v>
      </c>
      <c r="H98" s="51">
        <f t="shared" si="2"/>
        <v>350000</v>
      </c>
    </row>
    <row r="99" spans="1:8" x14ac:dyDescent="0.25">
      <c r="A99" s="38">
        <f>+IF(B99="","",SUBTOTAL(3,$B$7:B99))</f>
        <v>93</v>
      </c>
      <c r="B99" s="40" t="s">
        <v>705</v>
      </c>
      <c r="C99" s="53">
        <v>45705</v>
      </c>
      <c r="D99" s="40" t="s">
        <v>700</v>
      </c>
      <c r="E99" s="38" t="s">
        <v>101</v>
      </c>
      <c r="F99" s="51">
        <v>25</v>
      </c>
      <c r="G99" s="51">
        <v>1090</v>
      </c>
      <c r="H99" s="51">
        <f t="shared" si="2"/>
        <v>27250</v>
      </c>
    </row>
    <row r="100" spans="1:8" x14ac:dyDescent="0.25">
      <c r="A100" s="38">
        <f>+IF(B100="","",SUBTOTAL(3,$B$7:B100))</f>
        <v>94</v>
      </c>
      <c r="B100" s="40" t="s">
        <v>751</v>
      </c>
      <c r="C100" s="53">
        <v>45707</v>
      </c>
      <c r="D100" s="40" t="s">
        <v>699</v>
      </c>
      <c r="E100" s="38" t="s">
        <v>101</v>
      </c>
      <c r="F100" s="51">
        <v>1</v>
      </c>
      <c r="G100" s="51">
        <v>1111.1099999999999</v>
      </c>
      <c r="H100" s="51">
        <f t="shared" si="2"/>
        <v>1111.1099999999999</v>
      </c>
    </row>
    <row r="101" spans="1:8" ht="30" x14ac:dyDescent="0.25">
      <c r="A101" s="38">
        <f>+IF(B101="","",SUBTOTAL(3,$B$7:B101))</f>
        <v>95</v>
      </c>
      <c r="B101" s="40" t="s">
        <v>751</v>
      </c>
      <c r="C101" s="53">
        <v>45707</v>
      </c>
      <c r="D101" s="40" t="s">
        <v>738</v>
      </c>
      <c r="E101" s="38" t="s">
        <v>101</v>
      </c>
      <c r="F101" s="51">
        <v>1</v>
      </c>
      <c r="G101" s="51">
        <v>900</v>
      </c>
      <c r="H101" s="51">
        <f t="shared" si="2"/>
        <v>900</v>
      </c>
    </row>
    <row r="102" spans="1:8" x14ac:dyDescent="0.25">
      <c r="A102" s="38">
        <f>+IF(B102="","",SUBTOTAL(3,$B$7:B102))</f>
        <v>96</v>
      </c>
      <c r="B102" s="40" t="s">
        <v>751</v>
      </c>
      <c r="C102" s="53">
        <v>45707</v>
      </c>
      <c r="D102" s="40" t="s">
        <v>746</v>
      </c>
      <c r="E102" s="38" t="s">
        <v>101</v>
      </c>
      <c r="F102" s="51">
        <v>1</v>
      </c>
      <c r="G102" s="51">
        <v>3000</v>
      </c>
      <c r="H102" s="51">
        <f t="shared" si="2"/>
        <v>3000</v>
      </c>
    </row>
    <row r="103" spans="1:8" x14ac:dyDescent="0.25">
      <c r="A103" s="38">
        <f>+IF(B103="","",SUBTOTAL(3,$B$7:B103))</f>
        <v>97</v>
      </c>
      <c r="B103" s="40" t="s">
        <v>442</v>
      </c>
      <c r="C103" s="53">
        <v>45709</v>
      </c>
      <c r="D103" s="40" t="s">
        <v>711</v>
      </c>
      <c r="E103" s="38" t="s">
        <v>101</v>
      </c>
      <c r="F103" s="51">
        <v>4</v>
      </c>
      <c r="G103" s="51">
        <v>13668</v>
      </c>
      <c r="H103" s="51">
        <f t="shared" si="2"/>
        <v>54672</v>
      </c>
    </row>
    <row r="104" spans="1:8" ht="30" x14ac:dyDescent="0.25">
      <c r="A104" s="38">
        <f>+IF(B104="","",SUBTOTAL(3,$B$7:B104))</f>
        <v>98</v>
      </c>
      <c r="B104" s="40" t="s">
        <v>442</v>
      </c>
      <c r="C104" s="53">
        <v>45709</v>
      </c>
      <c r="D104" s="40" t="s">
        <v>738</v>
      </c>
      <c r="E104" s="38" t="s">
        <v>101</v>
      </c>
      <c r="F104" s="51">
        <v>1</v>
      </c>
      <c r="G104" s="51">
        <v>900</v>
      </c>
      <c r="H104" s="51">
        <f t="shared" si="2"/>
        <v>900</v>
      </c>
    </row>
    <row r="105" spans="1:8" x14ac:dyDescent="0.25">
      <c r="A105" s="38">
        <f>+IF(B105="","",SUBTOTAL(3,$B$7:B105))</f>
        <v>99</v>
      </c>
      <c r="B105" s="40" t="s">
        <v>442</v>
      </c>
      <c r="C105" s="53">
        <v>45709</v>
      </c>
      <c r="D105" s="40" t="s">
        <v>709</v>
      </c>
      <c r="E105" s="38" t="s">
        <v>101</v>
      </c>
      <c r="F105" s="51">
        <v>2</v>
      </c>
      <c r="G105" s="51">
        <v>10000</v>
      </c>
      <c r="H105" s="51">
        <f t="shared" si="2"/>
        <v>20000</v>
      </c>
    </row>
    <row r="106" spans="1:8" x14ac:dyDescent="0.25">
      <c r="A106" s="38">
        <f>+IF(B106="","",SUBTOTAL(3,$B$7:B106))</f>
        <v>100</v>
      </c>
      <c r="B106" s="40" t="s">
        <v>442</v>
      </c>
      <c r="C106" s="53">
        <v>45709</v>
      </c>
      <c r="D106" s="40" t="s">
        <v>752</v>
      </c>
      <c r="E106" s="38" t="s">
        <v>101</v>
      </c>
      <c r="F106" s="51">
        <v>1</v>
      </c>
      <c r="G106" s="51">
        <v>2490</v>
      </c>
      <c r="H106" s="51">
        <f t="shared" si="2"/>
        <v>2490</v>
      </c>
    </row>
    <row r="107" spans="1:8" ht="30" x14ac:dyDescent="0.25">
      <c r="A107" s="38">
        <f>+IF(B107="","",SUBTOTAL(3,$B$7:B107))</f>
        <v>101</v>
      </c>
      <c r="B107" s="40" t="s">
        <v>442</v>
      </c>
      <c r="C107" s="53">
        <v>45709</v>
      </c>
      <c r="D107" s="40" t="s">
        <v>863</v>
      </c>
      <c r="E107" s="38" t="s">
        <v>753</v>
      </c>
      <c r="F107" s="51">
        <v>2</v>
      </c>
      <c r="G107" s="51">
        <v>7896</v>
      </c>
      <c r="H107" s="51">
        <f t="shared" si="2"/>
        <v>15792</v>
      </c>
    </row>
    <row r="108" spans="1:8" x14ac:dyDescent="0.25">
      <c r="A108" s="38">
        <f>+IF(B108="","",SUBTOTAL(3,$B$7:B108))</f>
        <v>102</v>
      </c>
      <c r="B108" s="40" t="s">
        <v>442</v>
      </c>
      <c r="C108" s="53">
        <v>45709</v>
      </c>
      <c r="D108" s="40" t="s">
        <v>713</v>
      </c>
      <c r="E108" s="38" t="s">
        <v>101</v>
      </c>
      <c r="F108" s="51">
        <v>1</v>
      </c>
      <c r="G108" s="51">
        <v>32888</v>
      </c>
      <c r="H108" s="51">
        <f t="shared" si="2"/>
        <v>32888</v>
      </c>
    </row>
    <row r="109" spans="1:8" x14ac:dyDescent="0.25">
      <c r="A109" s="38">
        <f>+IF(B109="","",SUBTOTAL(3,$B$7:B109))</f>
        <v>103</v>
      </c>
      <c r="B109" s="40" t="s">
        <v>442</v>
      </c>
      <c r="C109" s="53">
        <v>45709</v>
      </c>
      <c r="D109" s="40" t="s">
        <v>729</v>
      </c>
      <c r="E109" s="38" t="s">
        <v>101</v>
      </c>
      <c r="F109" s="51">
        <v>1</v>
      </c>
      <c r="G109" s="51">
        <v>55000</v>
      </c>
      <c r="H109" s="51">
        <f t="shared" si="2"/>
        <v>55000</v>
      </c>
    </row>
    <row r="110" spans="1:8" x14ac:dyDescent="0.25">
      <c r="A110" s="38">
        <f>+IF(B110="","",SUBTOTAL(3,$B$7:B110))</f>
        <v>104</v>
      </c>
      <c r="B110" s="40" t="s">
        <v>442</v>
      </c>
      <c r="C110" s="53">
        <v>45709</v>
      </c>
      <c r="D110" s="40" t="s">
        <v>716</v>
      </c>
      <c r="E110" s="38" t="s">
        <v>101</v>
      </c>
      <c r="F110" s="51">
        <v>4</v>
      </c>
      <c r="G110" s="51">
        <v>4400</v>
      </c>
      <c r="H110" s="51">
        <f t="shared" si="2"/>
        <v>17600</v>
      </c>
    </row>
    <row r="111" spans="1:8" x14ac:dyDescent="0.25">
      <c r="A111" s="38">
        <f>+IF(B111="","",SUBTOTAL(3,$B$7:B111))</f>
        <v>105</v>
      </c>
      <c r="B111" s="40" t="s">
        <v>442</v>
      </c>
      <c r="C111" s="53">
        <v>45709</v>
      </c>
      <c r="D111" s="40" t="s">
        <v>754</v>
      </c>
      <c r="E111" s="38" t="s">
        <v>101</v>
      </c>
      <c r="F111" s="51">
        <v>4</v>
      </c>
      <c r="G111" s="51">
        <v>4400</v>
      </c>
      <c r="H111" s="51">
        <f t="shared" si="2"/>
        <v>17600</v>
      </c>
    </row>
    <row r="112" spans="1:8" x14ac:dyDescent="0.25">
      <c r="A112" s="38">
        <f>+IF(B112="","",SUBTOTAL(3,$B$7:B112))</f>
        <v>106</v>
      </c>
      <c r="B112" s="40" t="s">
        <v>705</v>
      </c>
      <c r="C112" s="53">
        <v>45714</v>
      </c>
      <c r="D112" s="40" t="s">
        <v>722</v>
      </c>
      <c r="E112" s="38" t="s">
        <v>101</v>
      </c>
      <c r="F112" s="51">
        <v>20000</v>
      </c>
      <c r="G112" s="51">
        <v>13</v>
      </c>
      <c r="H112" s="51">
        <f t="shared" si="2"/>
        <v>260000</v>
      </c>
    </row>
    <row r="113" spans="1:8" x14ac:dyDescent="0.25">
      <c r="A113" s="38">
        <f>+IF(B113="","",SUBTOTAL(3,$B$7:B113))</f>
        <v>107</v>
      </c>
      <c r="B113" s="40" t="s">
        <v>705</v>
      </c>
      <c r="C113" s="53">
        <v>45714</v>
      </c>
      <c r="D113" s="40" t="s">
        <v>721</v>
      </c>
      <c r="E113" s="38" t="s">
        <v>101</v>
      </c>
      <c r="F113" s="51">
        <v>30000</v>
      </c>
      <c r="G113" s="51">
        <v>13</v>
      </c>
      <c r="H113" s="51">
        <f t="shared" si="2"/>
        <v>390000</v>
      </c>
    </row>
    <row r="114" spans="1:8" x14ac:dyDescent="0.25">
      <c r="A114" s="38">
        <f>+IF(B114="","",SUBTOTAL(3,$B$7:B114))</f>
        <v>108</v>
      </c>
      <c r="B114" s="40" t="s">
        <v>705</v>
      </c>
      <c r="C114" s="53">
        <v>45714</v>
      </c>
      <c r="D114" s="40" t="s">
        <v>755</v>
      </c>
      <c r="E114" s="38" t="s">
        <v>101</v>
      </c>
      <c r="F114" s="51">
        <v>15000</v>
      </c>
      <c r="G114" s="51">
        <v>13</v>
      </c>
      <c r="H114" s="51">
        <f t="shared" si="2"/>
        <v>195000</v>
      </c>
    </row>
    <row r="115" spans="1:8" x14ac:dyDescent="0.25">
      <c r="A115" s="38">
        <f>+IF(B115="","",SUBTOTAL(3,$B$7:B115))</f>
        <v>109</v>
      </c>
      <c r="B115" s="40" t="s">
        <v>705</v>
      </c>
      <c r="C115" s="53">
        <v>45714</v>
      </c>
      <c r="D115" s="40" t="s">
        <v>719</v>
      </c>
      <c r="E115" s="38" t="s">
        <v>101</v>
      </c>
      <c r="F115" s="51">
        <v>30000</v>
      </c>
      <c r="G115" s="51">
        <v>13</v>
      </c>
      <c r="H115" s="51">
        <f t="shared" si="2"/>
        <v>390000</v>
      </c>
    </row>
    <row r="116" spans="1:8" x14ac:dyDescent="0.25">
      <c r="A116" s="38">
        <f>+IF(B116="","",SUBTOTAL(3,$B$7:B116))</f>
        <v>110</v>
      </c>
      <c r="B116" s="40" t="s">
        <v>705</v>
      </c>
      <c r="C116" s="53">
        <v>45714</v>
      </c>
      <c r="D116" s="40" t="s">
        <v>720</v>
      </c>
      <c r="E116" s="38" t="s">
        <v>101</v>
      </c>
      <c r="F116" s="51">
        <v>30000</v>
      </c>
      <c r="G116" s="51">
        <v>13</v>
      </c>
      <c r="H116" s="51">
        <f t="shared" si="2"/>
        <v>390000</v>
      </c>
    </row>
    <row r="117" spans="1:8" x14ac:dyDescent="0.25">
      <c r="A117" s="38">
        <f>+IF(B117="","",SUBTOTAL(3,$B$7:B117))</f>
        <v>111</v>
      </c>
      <c r="B117" s="40" t="s">
        <v>705</v>
      </c>
      <c r="C117" s="53">
        <v>45714</v>
      </c>
      <c r="D117" s="40" t="s">
        <v>756</v>
      </c>
      <c r="E117" s="38" t="s">
        <v>101</v>
      </c>
      <c r="F117" s="51">
        <v>30000</v>
      </c>
      <c r="G117" s="51">
        <v>13</v>
      </c>
      <c r="H117" s="51">
        <f t="shared" si="2"/>
        <v>390000</v>
      </c>
    </row>
    <row r="118" spans="1:8" x14ac:dyDescent="0.25">
      <c r="A118" s="38">
        <f>+IF(B118="","",SUBTOTAL(3,$B$7:B118))</f>
        <v>112</v>
      </c>
      <c r="B118" s="40" t="s">
        <v>705</v>
      </c>
      <c r="C118" s="53">
        <v>45714</v>
      </c>
      <c r="D118" s="40" t="s">
        <v>724</v>
      </c>
      <c r="E118" s="38" t="s">
        <v>101</v>
      </c>
      <c r="F118" s="51">
        <v>5100</v>
      </c>
      <c r="G118" s="51">
        <v>34.950000000000003</v>
      </c>
      <c r="H118" s="51">
        <f t="shared" si="2"/>
        <v>178245</v>
      </c>
    </row>
    <row r="119" spans="1:8" x14ac:dyDescent="0.25">
      <c r="A119" s="38">
        <f>+IF(B119="","",SUBTOTAL(3,$B$7:B119))</f>
        <v>113</v>
      </c>
      <c r="B119" s="40" t="s">
        <v>705</v>
      </c>
      <c r="C119" s="53">
        <v>45714</v>
      </c>
      <c r="D119" s="40" t="s">
        <v>757</v>
      </c>
      <c r="E119" s="38" t="s">
        <v>101</v>
      </c>
      <c r="F119" s="51">
        <v>5100</v>
      </c>
      <c r="G119" s="51">
        <v>34.950000000000003</v>
      </c>
      <c r="H119" s="51">
        <f t="shared" si="2"/>
        <v>178245</v>
      </c>
    </row>
    <row r="120" spans="1:8" x14ac:dyDescent="0.25">
      <c r="A120" s="38">
        <f>+IF(B120="","",SUBTOTAL(3,$B$7:B120))</f>
        <v>114</v>
      </c>
      <c r="B120" s="40" t="s">
        <v>705</v>
      </c>
      <c r="C120" s="53">
        <v>45714</v>
      </c>
      <c r="D120" s="40" t="s">
        <v>758</v>
      </c>
      <c r="E120" s="38" t="s">
        <v>101</v>
      </c>
      <c r="F120" s="51">
        <v>5100</v>
      </c>
      <c r="G120" s="51">
        <v>34.950000000000003</v>
      </c>
      <c r="H120" s="51">
        <f t="shared" si="2"/>
        <v>178245</v>
      </c>
    </row>
    <row r="121" spans="1:8" x14ac:dyDescent="0.25">
      <c r="A121" s="38">
        <f>+IF(B121="","",SUBTOTAL(3,$B$7:B121))</f>
        <v>115</v>
      </c>
      <c r="B121" s="40" t="s">
        <v>705</v>
      </c>
      <c r="C121" s="53">
        <v>45714</v>
      </c>
      <c r="D121" s="40" t="s">
        <v>759</v>
      </c>
      <c r="E121" s="38" t="s">
        <v>707</v>
      </c>
      <c r="F121" s="51">
        <v>2</v>
      </c>
      <c r="G121" s="51">
        <v>615000</v>
      </c>
      <c r="H121" s="51">
        <f t="shared" si="2"/>
        <v>1230000</v>
      </c>
    </row>
    <row r="122" spans="1:8" x14ac:dyDescent="0.25">
      <c r="A122" s="38">
        <f>+IF(B122="","",SUBTOTAL(3,$B$7:B122))</f>
        <v>116</v>
      </c>
      <c r="B122" s="40" t="s">
        <v>705</v>
      </c>
      <c r="C122" s="53">
        <v>45714</v>
      </c>
      <c r="D122" s="40" t="s">
        <v>760</v>
      </c>
      <c r="E122" s="38" t="s">
        <v>101</v>
      </c>
      <c r="F122" s="51">
        <v>1</v>
      </c>
      <c r="G122" s="51">
        <v>29888</v>
      </c>
      <c r="H122" s="51">
        <f t="shared" si="2"/>
        <v>29888</v>
      </c>
    </row>
    <row r="123" spans="1:8" x14ac:dyDescent="0.25">
      <c r="A123" s="38">
        <f>+IF(B123="","",SUBTOTAL(3,$B$7:B123))</f>
        <v>117</v>
      </c>
      <c r="B123" s="40" t="s">
        <v>451</v>
      </c>
      <c r="C123" s="53">
        <v>45715</v>
      </c>
      <c r="D123" s="40" t="s">
        <v>188</v>
      </c>
      <c r="E123" s="38" t="s">
        <v>101</v>
      </c>
      <c r="F123" s="51">
        <v>2</v>
      </c>
      <c r="G123" s="51">
        <v>36000</v>
      </c>
      <c r="H123" s="51">
        <f t="shared" si="2"/>
        <v>72000</v>
      </c>
    </row>
    <row r="124" spans="1:8" x14ac:dyDescent="0.25">
      <c r="A124" s="38">
        <f>+IF(B124="","",SUBTOTAL(3,$B$7:B124))</f>
        <v>118</v>
      </c>
      <c r="B124" s="40" t="s">
        <v>451</v>
      </c>
      <c r="C124" s="53">
        <v>45715</v>
      </c>
      <c r="D124" s="40" t="s">
        <v>699</v>
      </c>
      <c r="E124" s="38" t="s">
        <v>101</v>
      </c>
      <c r="F124" s="51">
        <v>10</v>
      </c>
      <c r="G124" s="51">
        <v>1111.1099999999999</v>
      </c>
      <c r="H124" s="51">
        <f t="shared" si="2"/>
        <v>11111.099999999999</v>
      </c>
    </row>
    <row r="125" spans="1:8" x14ac:dyDescent="0.25">
      <c r="A125" s="38">
        <f>+IF(B125="","",SUBTOTAL(3,$B$7:B125))</f>
        <v>119</v>
      </c>
      <c r="B125" s="40" t="s">
        <v>451</v>
      </c>
      <c r="C125" s="53">
        <v>45715</v>
      </c>
      <c r="D125" s="40" t="s">
        <v>746</v>
      </c>
      <c r="E125" s="38" t="s">
        <v>101</v>
      </c>
      <c r="F125" s="51">
        <v>2</v>
      </c>
      <c r="G125" s="51">
        <v>3000</v>
      </c>
      <c r="H125" s="51">
        <f t="shared" si="2"/>
        <v>6000</v>
      </c>
    </row>
    <row r="126" spans="1:8" x14ac:dyDescent="0.25">
      <c r="A126" s="38">
        <f>+IF(B126="","",SUBTOTAL(3,$B$7:B126))</f>
        <v>120</v>
      </c>
      <c r="B126" s="40" t="s">
        <v>698</v>
      </c>
      <c r="C126" s="41">
        <v>45722</v>
      </c>
      <c r="D126" s="40" t="s">
        <v>699</v>
      </c>
      <c r="E126" s="38" t="s">
        <v>101</v>
      </c>
      <c r="F126" s="51">
        <v>6</v>
      </c>
      <c r="G126" s="51">
        <v>1111.1099999999999</v>
      </c>
      <c r="H126" s="51">
        <f t="shared" si="2"/>
        <v>6666.66</v>
      </c>
    </row>
    <row r="127" spans="1:8" x14ac:dyDescent="0.25">
      <c r="A127" s="38">
        <f>+IF(B127="","",SUBTOTAL(3,$B$7:B127))</f>
        <v>121</v>
      </c>
      <c r="B127" s="40" t="s">
        <v>698</v>
      </c>
      <c r="C127" s="41">
        <v>45722</v>
      </c>
      <c r="D127" s="40" t="s">
        <v>208</v>
      </c>
      <c r="E127" s="38" t="s">
        <v>101</v>
      </c>
      <c r="F127" s="51">
        <v>2</v>
      </c>
      <c r="G127" s="51">
        <v>3333.33</v>
      </c>
      <c r="H127" s="51">
        <f t="shared" si="2"/>
        <v>6666.66</v>
      </c>
    </row>
    <row r="128" spans="1:8" x14ac:dyDescent="0.25">
      <c r="A128" s="38">
        <f>+IF(B128="","",SUBTOTAL(3,$B$7:B128))</f>
        <v>122</v>
      </c>
      <c r="B128" s="40" t="s">
        <v>698</v>
      </c>
      <c r="C128" s="41">
        <v>45722</v>
      </c>
      <c r="D128" s="40" t="s">
        <v>700</v>
      </c>
      <c r="E128" s="38" t="s">
        <v>101</v>
      </c>
      <c r="F128" s="51">
        <v>30</v>
      </c>
      <c r="G128" s="51">
        <v>1090</v>
      </c>
      <c r="H128" s="51">
        <f t="shared" si="2"/>
        <v>32700</v>
      </c>
    </row>
    <row r="129" spans="1:8" x14ac:dyDescent="0.25">
      <c r="A129" s="38">
        <f>+IF(B129="","",SUBTOTAL(3,$B$7:B129))</f>
        <v>123</v>
      </c>
      <c r="B129" s="40" t="s">
        <v>698</v>
      </c>
      <c r="C129" s="41">
        <v>45722</v>
      </c>
      <c r="D129" s="40" t="s">
        <v>188</v>
      </c>
      <c r="E129" s="38" t="s">
        <v>101</v>
      </c>
      <c r="F129" s="51">
        <v>1</v>
      </c>
      <c r="G129" s="51">
        <v>36000</v>
      </c>
      <c r="H129" s="51">
        <f t="shared" si="2"/>
        <v>36000</v>
      </c>
    </row>
    <row r="130" spans="1:8" ht="30" x14ac:dyDescent="0.25">
      <c r="A130" s="38">
        <f>+IF(B130="","",SUBTOTAL(3,$B$7:B130))</f>
        <v>124</v>
      </c>
      <c r="B130" s="40" t="s">
        <v>449</v>
      </c>
      <c r="C130" s="41">
        <v>45728</v>
      </c>
      <c r="D130" s="40" t="s">
        <v>188</v>
      </c>
      <c r="E130" s="38" t="s">
        <v>101</v>
      </c>
      <c r="F130" s="51">
        <v>1</v>
      </c>
      <c r="G130" s="51">
        <v>36000</v>
      </c>
      <c r="H130" s="51">
        <f t="shared" si="2"/>
        <v>36000</v>
      </c>
    </row>
    <row r="131" spans="1:8" ht="30" x14ac:dyDescent="0.25">
      <c r="A131" s="38">
        <f>+IF(B131="","",SUBTOTAL(3,$B$7:B131))</f>
        <v>125</v>
      </c>
      <c r="B131" s="40" t="s">
        <v>449</v>
      </c>
      <c r="C131" s="41">
        <v>45728</v>
      </c>
      <c r="D131" s="40" t="s">
        <v>208</v>
      </c>
      <c r="E131" s="38" t="s">
        <v>101</v>
      </c>
      <c r="F131" s="51">
        <v>3</v>
      </c>
      <c r="G131" s="51">
        <v>3333.33</v>
      </c>
      <c r="H131" s="51">
        <f t="shared" si="2"/>
        <v>9999.99</v>
      </c>
    </row>
    <row r="132" spans="1:8" ht="30" x14ac:dyDescent="0.25">
      <c r="A132" s="38">
        <f>+IF(B132="","",SUBTOTAL(3,$B$7:B132))</f>
        <v>126</v>
      </c>
      <c r="B132" s="40" t="s">
        <v>449</v>
      </c>
      <c r="C132" s="41">
        <v>45728</v>
      </c>
      <c r="D132" s="40" t="s">
        <v>699</v>
      </c>
      <c r="E132" s="38" t="s">
        <v>101</v>
      </c>
      <c r="F132" s="51">
        <v>3</v>
      </c>
      <c r="G132" s="51">
        <v>1111.1099999999999</v>
      </c>
      <c r="H132" s="51">
        <f t="shared" si="2"/>
        <v>3333.33</v>
      </c>
    </row>
    <row r="133" spans="1:8" x14ac:dyDescent="0.25">
      <c r="A133" s="38">
        <f>+IF(B133="","",SUBTOTAL(3,$B$7:B133))</f>
        <v>127</v>
      </c>
      <c r="B133" s="40" t="s">
        <v>451</v>
      </c>
      <c r="C133" s="41">
        <v>45730</v>
      </c>
      <c r="D133" s="40" t="s">
        <v>188</v>
      </c>
      <c r="E133" s="38" t="s">
        <v>101</v>
      </c>
      <c r="F133" s="51">
        <v>1</v>
      </c>
      <c r="G133" s="51">
        <v>36000</v>
      </c>
      <c r="H133" s="51">
        <f t="shared" si="2"/>
        <v>36000</v>
      </c>
    </row>
    <row r="134" spans="1:8" x14ac:dyDescent="0.25">
      <c r="A134" s="38">
        <f>+IF(B134="","",SUBTOTAL(3,$B$7:B134))</f>
        <v>128</v>
      </c>
      <c r="B134" s="40" t="s">
        <v>451</v>
      </c>
      <c r="C134" s="41">
        <v>45730</v>
      </c>
      <c r="D134" s="40" t="s">
        <v>699</v>
      </c>
      <c r="E134" s="38" t="s">
        <v>101</v>
      </c>
      <c r="F134" s="51">
        <v>7</v>
      </c>
      <c r="G134" s="51">
        <v>1111.1099999999999</v>
      </c>
      <c r="H134" s="51">
        <f t="shared" si="2"/>
        <v>7777.7699999999995</v>
      </c>
    </row>
    <row r="135" spans="1:8" x14ac:dyDescent="0.25">
      <c r="A135" s="38">
        <f>+IF(B135="","",SUBTOTAL(3,$B$7:B135))</f>
        <v>129</v>
      </c>
      <c r="B135" s="40" t="s">
        <v>451</v>
      </c>
      <c r="C135" s="41">
        <v>45730</v>
      </c>
      <c r="D135" s="40" t="s">
        <v>761</v>
      </c>
      <c r="E135" s="38" t="s">
        <v>741</v>
      </c>
      <c r="F135" s="51">
        <v>8</v>
      </c>
      <c r="G135" s="51">
        <v>157.94999999999999</v>
      </c>
      <c r="H135" s="51">
        <f t="shared" si="2"/>
        <v>1263.5999999999999</v>
      </c>
    </row>
    <row r="136" spans="1:8" x14ac:dyDescent="0.25">
      <c r="A136" s="38">
        <f>+IF(B136="","",SUBTOTAL(3,$B$7:B136))</f>
        <v>130</v>
      </c>
      <c r="B136" s="40" t="s">
        <v>451</v>
      </c>
      <c r="C136" s="41">
        <v>45730</v>
      </c>
      <c r="D136" s="40" t="s">
        <v>762</v>
      </c>
      <c r="E136" s="38" t="s">
        <v>101</v>
      </c>
      <c r="F136" s="51">
        <v>50</v>
      </c>
      <c r="G136" s="51">
        <v>9234.5</v>
      </c>
      <c r="H136" s="51">
        <f t="shared" si="2"/>
        <v>461725</v>
      </c>
    </row>
    <row r="137" spans="1:8" x14ac:dyDescent="0.25">
      <c r="A137" s="38">
        <f>+IF(B137="","",SUBTOTAL(3,$B$7:B137))</f>
        <v>131</v>
      </c>
      <c r="B137" s="40" t="s">
        <v>451</v>
      </c>
      <c r="C137" s="41">
        <v>45730</v>
      </c>
      <c r="D137" s="40" t="s">
        <v>762</v>
      </c>
      <c r="E137" s="38" t="s">
        <v>101</v>
      </c>
      <c r="F137" s="51">
        <v>50</v>
      </c>
      <c r="G137" s="51">
        <v>1904</v>
      </c>
      <c r="H137" s="51">
        <f t="shared" si="2"/>
        <v>95200</v>
      </c>
    </row>
    <row r="138" spans="1:8" ht="30" x14ac:dyDescent="0.25">
      <c r="A138" s="38">
        <f>+IF(B138="","",SUBTOTAL(3,$B$7:B138))</f>
        <v>132</v>
      </c>
      <c r="B138" s="40" t="s">
        <v>451</v>
      </c>
      <c r="C138" s="41">
        <v>45730</v>
      </c>
      <c r="D138" s="40" t="s">
        <v>735</v>
      </c>
      <c r="E138" s="38" t="s">
        <v>101</v>
      </c>
      <c r="F138" s="51">
        <v>1</v>
      </c>
      <c r="G138" s="51">
        <v>280720</v>
      </c>
      <c r="H138" s="51">
        <f t="shared" si="2"/>
        <v>280720</v>
      </c>
    </row>
    <row r="139" spans="1:8" x14ac:dyDescent="0.25">
      <c r="A139" s="38">
        <f>+IF(B139="","",SUBTOTAL(3,$B$7:B139))</f>
        <v>133</v>
      </c>
      <c r="B139" s="40" t="s">
        <v>442</v>
      </c>
      <c r="C139" s="41">
        <v>45730</v>
      </c>
      <c r="D139" s="40" t="s">
        <v>763</v>
      </c>
      <c r="E139" s="38" t="s">
        <v>764</v>
      </c>
      <c r="F139" s="51">
        <v>60</v>
      </c>
      <c r="G139" s="51">
        <v>12400</v>
      </c>
      <c r="H139" s="51">
        <f t="shared" ref="H139:H393" si="3">+SUM(F139*G139)</f>
        <v>744000</v>
      </c>
    </row>
    <row r="140" spans="1:8" x14ac:dyDescent="0.25">
      <c r="A140" s="38">
        <f>+IF(B140="","",SUBTOTAL(3,$B$7:B140))</f>
        <v>134</v>
      </c>
      <c r="B140" s="40" t="s">
        <v>705</v>
      </c>
      <c r="C140" s="41">
        <v>45736</v>
      </c>
      <c r="D140" s="40" t="s">
        <v>722</v>
      </c>
      <c r="E140" s="38" t="s">
        <v>101</v>
      </c>
      <c r="F140" s="51">
        <v>30000</v>
      </c>
      <c r="G140" s="51">
        <v>13</v>
      </c>
      <c r="H140" s="51">
        <f t="shared" si="3"/>
        <v>390000</v>
      </c>
    </row>
    <row r="141" spans="1:8" x14ac:dyDescent="0.25">
      <c r="A141" s="38">
        <f>+IF(B141="","",SUBTOTAL(3,$B$7:B141))</f>
        <v>135</v>
      </c>
      <c r="B141" s="40" t="s">
        <v>705</v>
      </c>
      <c r="C141" s="41">
        <v>45736</v>
      </c>
      <c r="D141" s="40" t="s">
        <v>721</v>
      </c>
      <c r="E141" s="38" t="s">
        <v>101</v>
      </c>
      <c r="F141" s="51">
        <v>30000</v>
      </c>
      <c r="G141" s="51">
        <v>13</v>
      </c>
      <c r="H141" s="51">
        <f t="shared" si="3"/>
        <v>390000</v>
      </c>
    </row>
    <row r="142" spans="1:8" x14ac:dyDescent="0.25">
      <c r="A142" s="38">
        <f>+IF(B142="","",SUBTOTAL(3,$B$7:B142))</f>
        <v>136</v>
      </c>
      <c r="B142" s="40" t="s">
        <v>705</v>
      </c>
      <c r="C142" s="41">
        <v>45736</v>
      </c>
      <c r="D142" s="40" t="s">
        <v>719</v>
      </c>
      <c r="E142" s="38" t="s">
        <v>101</v>
      </c>
      <c r="F142" s="51">
        <v>20000</v>
      </c>
      <c r="G142" s="51">
        <v>13</v>
      </c>
      <c r="H142" s="51">
        <f t="shared" si="3"/>
        <v>260000</v>
      </c>
    </row>
    <row r="143" spans="1:8" x14ac:dyDescent="0.25">
      <c r="A143" s="38">
        <f>+IF(B143="","",SUBTOTAL(3,$B$7:B143))</f>
        <v>137</v>
      </c>
      <c r="B143" s="40" t="s">
        <v>705</v>
      </c>
      <c r="C143" s="41">
        <v>45736</v>
      </c>
      <c r="D143" s="40" t="s">
        <v>720</v>
      </c>
      <c r="E143" s="38" t="s">
        <v>101</v>
      </c>
      <c r="F143" s="51">
        <v>30000</v>
      </c>
      <c r="G143" s="51">
        <v>13</v>
      </c>
      <c r="H143" s="51">
        <f t="shared" si="3"/>
        <v>390000</v>
      </c>
    </row>
    <row r="144" spans="1:8" x14ac:dyDescent="0.25">
      <c r="A144" s="38">
        <f>+IF(B144="","",SUBTOTAL(3,$B$7:B144))</f>
        <v>138</v>
      </c>
      <c r="B144" s="40" t="s">
        <v>705</v>
      </c>
      <c r="C144" s="41">
        <v>45736</v>
      </c>
      <c r="D144" s="40" t="s">
        <v>756</v>
      </c>
      <c r="E144" s="38" t="s">
        <v>101</v>
      </c>
      <c r="F144" s="51">
        <v>20000</v>
      </c>
      <c r="G144" s="51">
        <v>13</v>
      </c>
      <c r="H144" s="51">
        <f t="shared" si="3"/>
        <v>260000</v>
      </c>
    </row>
    <row r="145" spans="1:8" x14ac:dyDescent="0.25">
      <c r="A145" s="38">
        <f>+IF(B145="","",SUBTOTAL(3,$B$7:B145))</f>
        <v>139</v>
      </c>
      <c r="B145" s="40" t="s">
        <v>705</v>
      </c>
      <c r="C145" s="41">
        <v>45736</v>
      </c>
      <c r="D145" s="40" t="s">
        <v>765</v>
      </c>
      <c r="E145" s="38" t="s">
        <v>741</v>
      </c>
      <c r="F145" s="51">
        <v>10</v>
      </c>
      <c r="G145" s="51">
        <v>34000</v>
      </c>
      <c r="H145" s="51">
        <f t="shared" si="3"/>
        <v>340000</v>
      </c>
    </row>
    <row r="146" spans="1:8" x14ac:dyDescent="0.25">
      <c r="A146" s="38">
        <f>+IF(B146="","",SUBTOTAL(3,$B$7:B146))</f>
        <v>140</v>
      </c>
      <c r="B146" s="40" t="s">
        <v>705</v>
      </c>
      <c r="C146" s="41">
        <v>45736</v>
      </c>
      <c r="D146" s="40" t="s">
        <v>100</v>
      </c>
      <c r="E146" s="38" t="s">
        <v>101</v>
      </c>
      <c r="F146" s="51">
        <v>10000</v>
      </c>
      <c r="G146" s="51">
        <v>140</v>
      </c>
      <c r="H146" s="51">
        <f t="shared" si="3"/>
        <v>1400000</v>
      </c>
    </row>
    <row r="147" spans="1:8" x14ac:dyDescent="0.25">
      <c r="A147" s="38">
        <f>+IF(B147="","",SUBTOTAL(3,$B$7:B147))</f>
        <v>141</v>
      </c>
      <c r="B147" s="40" t="s">
        <v>705</v>
      </c>
      <c r="C147" s="41">
        <v>45736</v>
      </c>
      <c r="D147" s="40" t="s">
        <v>700</v>
      </c>
      <c r="E147" s="38" t="s">
        <v>101</v>
      </c>
      <c r="F147" s="51">
        <v>25</v>
      </c>
      <c r="G147" s="51">
        <v>1090</v>
      </c>
      <c r="H147" s="51">
        <f t="shared" si="3"/>
        <v>27250</v>
      </c>
    </row>
    <row r="148" spans="1:8" x14ac:dyDescent="0.25">
      <c r="A148" s="38">
        <f>+IF(B148="","",SUBTOTAL(3,$B$7:B148))</f>
        <v>142</v>
      </c>
      <c r="B148" s="40" t="s">
        <v>705</v>
      </c>
      <c r="C148" s="41">
        <v>45736</v>
      </c>
      <c r="D148" s="40" t="s">
        <v>699</v>
      </c>
      <c r="E148" s="38" t="s">
        <v>101</v>
      </c>
      <c r="F148" s="51">
        <v>30</v>
      </c>
      <c r="G148" s="51">
        <v>1111.1099999999999</v>
      </c>
      <c r="H148" s="51">
        <f t="shared" si="3"/>
        <v>33333.299999999996</v>
      </c>
    </row>
    <row r="149" spans="1:8" x14ac:dyDescent="0.25">
      <c r="A149" s="38">
        <f>+IF(B149="","",SUBTOTAL(3,$B$7:B149))</f>
        <v>143</v>
      </c>
      <c r="B149" s="40" t="s">
        <v>705</v>
      </c>
      <c r="C149" s="41">
        <v>45736</v>
      </c>
      <c r="D149" s="40" t="s">
        <v>208</v>
      </c>
      <c r="E149" s="38" t="s">
        <v>101</v>
      </c>
      <c r="F149" s="51">
        <v>4</v>
      </c>
      <c r="G149" s="51">
        <v>3333.33</v>
      </c>
      <c r="H149" s="51">
        <f t="shared" si="3"/>
        <v>13333.32</v>
      </c>
    </row>
    <row r="150" spans="1:8" ht="30" x14ac:dyDescent="0.25">
      <c r="A150" s="38">
        <f>+IF(B150="","",SUBTOTAL(3,$B$7:B150))</f>
        <v>144</v>
      </c>
      <c r="B150" s="40" t="s">
        <v>705</v>
      </c>
      <c r="C150" s="41">
        <v>45736</v>
      </c>
      <c r="D150" s="40" t="s">
        <v>701</v>
      </c>
      <c r="E150" s="38" t="s">
        <v>101</v>
      </c>
      <c r="F150" s="51">
        <v>12</v>
      </c>
      <c r="G150" s="51">
        <v>19600</v>
      </c>
      <c r="H150" s="51">
        <f t="shared" si="3"/>
        <v>235200</v>
      </c>
    </row>
    <row r="151" spans="1:8" ht="30" x14ac:dyDescent="0.25">
      <c r="A151" s="38">
        <f>+IF(B151="","",SUBTOTAL(3,$B$7:B151))</f>
        <v>145</v>
      </c>
      <c r="B151" s="40" t="s">
        <v>705</v>
      </c>
      <c r="C151" s="41">
        <v>45736</v>
      </c>
      <c r="D151" s="40" t="s">
        <v>727</v>
      </c>
      <c r="E151" s="38" t="s">
        <v>101</v>
      </c>
      <c r="F151" s="51">
        <v>4</v>
      </c>
      <c r="G151" s="51">
        <v>4800</v>
      </c>
      <c r="H151" s="51">
        <f t="shared" si="3"/>
        <v>19200</v>
      </c>
    </row>
    <row r="152" spans="1:8" x14ac:dyDescent="0.25">
      <c r="A152" s="38">
        <f>+IF(B152="","",SUBTOTAL(3,$B$7:B152))</f>
        <v>146</v>
      </c>
      <c r="B152" s="40" t="s">
        <v>705</v>
      </c>
      <c r="C152" s="41">
        <v>45736</v>
      </c>
      <c r="D152" s="40" t="s">
        <v>706</v>
      </c>
      <c r="E152" s="38" t="s">
        <v>707</v>
      </c>
      <c r="F152" s="51">
        <v>10</v>
      </c>
      <c r="G152" s="51">
        <v>9900</v>
      </c>
      <c r="H152" s="51">
        <f t="shared" si="3"/>
        <v>99000</v>
      </c>
    </row>
    <row r="153" spans="1:8" x14ac:dyDescent="0.25">
      <c r="A153" s="38">
        <f>+IF(B153="","",SUBTOTAL(3,$B$7:B153))</f>
        <v>147</v>
      </c>
      <c r="B153" s="40" t="s">
        <v>705</v>
      </c>
      <c r="C153" s="41">
        <v>45736</v>
      </c>
      <c r="D153" s="40" t="s">
        <v>766</v>
      </c>
      <c r="E153" s="38" t="s">
        <v>101</v>
      </c>
      <c r="F153" s="51">
        <v>2000</v>
      </c>
      <c r="G153" s="51">
        <v>170</v>
      </c>
      <c r="H153" s="51">
        <f t="shared" si="3"/>
        <v>340000</v>
      </c>
    </row>
    <row r="154" spans="1:8" x14ac:dyDescent="0.25">
      <c r="A154" s="38">
        <f>+IF(B154="","",SUBTOTAL(3,$B$7:B154))</f>
        <v>148</v>
      </c>
      <c r="B154" s="40" t="s">
        <v>442</v>
      </c>
      <c r="C154" s="41">
        <v>45736</v>
      </c>
      <c r="D154" s="40" t="s">
        <v>730</v>
      </c>
      <c r="E154" s="38" t="s">
        <v>101</v>
      </c>
      <c r="F154" s="51">
        <v>2</v>
      </c>
      <c r="G154" s="51">
        <v>23000</v>
      </c>
      <c r="H154" s="51">
        <f t="shared" si="3"/>
        <v>46000</v>
      </c>
    </row>
    <row r="155" spans="1:8" x14ac:dyDescent="0.25">
      <c r="A155" s="38">
        <f>+IF(B155="","",SUBTOTAL(3,$B$7:B155))</f>
        <v>149</v>
      </c>
      <c r="B155" s="40" t="s">
        <v>442</v>
      </c>
      <c r="C155" s="41">
        <v>45736</v>
      </c>
      <c r="D155" s="40" t="s">
        <v>729</v>
      </c>
      <c r="E155" s="38" t="s">
        <v>101</v>
      </c>
      <c r="F155" s="51">
        <v>1</v>
      </c>
      <c r="G155" s="51">
        <v>55000</v>
      </c>
      <c r="H155" s="51">
        <f t="shared" si="3"/>
        <v>55000</v>
      </c>
    </row>
    <row r="156" spans="1:8" x14ac:dyDescent="0.25">
      <c r="A156" s="38">
        <f>+IF(B156="","",SUBTOTAL(3,$B$7:B156))</f>
        <v>150</v>
      </c>
      <c r="B156" s="40" t="s">
        <v>442</v>
      </c>
      <c r="C156" s="41">
        <v>45736</v>
      </c>
      <c r="D156" s="40" t="s">
        <v>712</v>
      </c>
      <c r="E156" s="38" t="s">
        <v>101</v>
      </c>
      <c r="F156" s="51">
        <v>5</v>
      </c>
      <c r="G156" s="51">
        <v>8800</v>
      </c>
      <c r="H156" s="51">
        <f t="shared" si="3"/>
        <v>44000</v>
      </c>
    </row>
    <row r="157" spans="1:8" x14ac:dyDescent="0.25">
      <c r="A157" s="38">
        <f>+IF(B157="","",SUBTOTAL(3,$B$7:B157))</f>
        <v>151</v>
      </c>
      <c r="B157" s="40" t="s">
        <v>442</v>
      </c>
      <c r="C157" s="41">
        <v>45736</v>
      </c>
      <c r="D157" s="40" t="s">
        <v>862</v>
      </c>
      <c r="E157" s="38" t="s">
        <v>101</v>
      </c>
      <c r="F157" s="51">
        <v>4</v>
      </c>
      <c r="G157" s="51">
        <v>27000</v>
      </c>
      <c r="H157" s="51">
        <f t="shared" si="3"/>
        <v>108000</v>
      </c>
    </row>
    <row r="158" spans="1:8" ht="30" x14ac:dyDescent="0.25">
      <c r="A158" s="38">
        <f>+IF(B158="","",SUBTOTAL(3,$B$7:B158))</f>
        <v>152</v>
      </c>
      <c r="B158" s="40" t="s">
        <v>442</v>
      </c>
      <c r="C158" s="41">
        <v>45736</v>
      </c>
      <c r="D158" s="40" t="s">
        <v>734</v>
      </c>
      <c r="E158" s="38" t="s">
        <v>707</v>
      </c>
      <c r="F158" s="51">
        <v>8</v>
      </c>
      <c r="G158" s="51">
        <v>5941</v>
      </c>
      <c r="H158" s="51">
        <f t="shared" si="3"/>
        <v>47528</v>
      </c>
    </row>
    <row r="159" spans="1:8" ht="30" x14ac:dyDescent="0.25">
      <c r="A159" s="38">
        <f>+IF(B159="","",SUBTOTAL(3,$B$7:B159))</f>
        <v>153</v>
      </c>
      <c r="B159" s="40" t="s">
        <v>442</v>
      </c>
      <c r="C159" s="41">
        <v>45736</v>
      </c>
      <c r="D159" s="40" t="s">
        <v>727</v>
      </c>
      <c r="E159" s="38" t="s">
        <v>101</v>
      </c>
      <c r="F159" s="51">
        <v>8</v>
      </c>
      <c r="G159" s="51">
        <v>4800</v>
      </c>
      <c r="H159" s="51">
        <f t="shared" si="3"/>
        <v>38400</v>
      </c>
    </row>
    <row r="160" spans="1:8" x14ac:dyDescent="0.25">
      <c r="A160" s="38">
        <f>+IF(B160="","",SUBTOTAL(3,$B$7:B160))</f>
        <v>154</v>
      </c>
      <c r="B160" s="40" t="s">
        <v>442</v>
      </c>
      <c r="C160" s="41">
        <v>45736</v>
      </c>
      <c r="D160" s="40" t="s">
        <v>732</v>
      </c>
      <c r="E160" s="38" t="s">
        <v>132</v>
      </c>
      <c r="F160" s="51">
        <v>4</v>
      </c>
      <c r="G160" s="51">
        <v>5454</v>
      </c>
      <c r="H160" s="51">
        <f t="shared" si="3"/>
        <v>21816</v>
      </c>
    </row>
    <row r="161" spans="1:8" ht="30" x14ac:dyDescent="0.25">
      <c r="A161" s="38">
        <f>+IF(B161="","",SUBTOTAL(3,$B$7:B161))</f>
        <v>155</v>
      </c>
      <c r="B161" s="40" t="s">
        <v>442</v>
      </c>
      <c r="C161" s="41">
        <v>45736</v>
      </c>
      <c r="D161" s="40" t="s">
        <v>767</v>
      </c>
      <c r="E161" s="38" t="s">
        <v>101</v>
      </c>
      <c r="F161" s="51">
        <v>5</v>
      </c>
      <c r="G161" s="51">
        <v>16998</v>
      </c>
      <c r="H161" s="51">
        <f t="shared" si="3"/>
        <v>84990</v>
      </c>
    </row>
    <row r="162" spans="1:8" x14ac:dyDescent="0.25">
      <c r="A162" s="38">
        <f>+IF(B162="","",SUBTOTAL(3,$B$7:B162))</f>
        <v>156</v>
      </c>
      <c r="B162" s="40" t="s">
        <v>442</v>
      </c>
      <c r="C162" s="41">
        <v>45736</v>
      </c>
      <c r="D162" s="40" t="s">
        <v>731</v>
      </c>
      <c r="E162" s="38" t="s">
        <v>101</v>
      </c>
      <c r="F162" s="51">
        <v>4</v>
      </c>
      <c r="G162" s="51">
        <v>5500</v>
      </c>
      <c r="H162" s="51">
        <f t="shared" si="3"/>
        <v>22000</v>
      </c>
    </row>
    <row r="163" spans="1:8" ht="30" x14ac:dyDescent="0.25">
      <c r="A163" s="38">
        <f>+IF(B163="","",SUBTOTAL(3,$B$7:B163))</f>
        <v>157</v>
      </c>
      <c r="B163" s="40" t="s">
        <v>442</v>
      </c>
      <c r="C163" s="41">
        <v>45736</v>
      </c>
      <c r="D163" s="40" t="s">
        <v>733</v>
      </c>
      <c r="E163" s="38" t="s">
        <v>101</v>
      </c>
      <c r="F163" s="51">
        <v>8</v>
      </c>
      <c r="G163" s="51">
        <v>6250</v>
      </c>
      <c r="H163" s="51">
        <f t="shared" si="3"/>
        <v>50000</v>
      </c>
    </row>
    <row r="164" spans="1:8" x14ac:dyDescent="0.25">
      <c r="A164" s="38">
        <f>+IF(B164="","",SUBTOTAL(3,$B$7:B164))</f>
        <v>158</v>
      </c>
      <c r="B164" s="40" t="s">
        <v>710</v>
      </c>
      <c r="C164" s="41">
        <v>45736</v>
      </c>
      <c r="D164" s="40" t="s">
        <v>711</v>
      </c>
      <c r="E164" s="38" t="s">
        <v>101</v>
      </c>
      <c r="F164" s="51">
        <v>4</v>
      </c>
      <c r="G164" s="51">
        <v>13668</v>
      </c>
      <c r="H164" s="51">
        <f t="shared" si="3"/>
        <v>54672</v>
      </c>
    </row>
    <row r="165" spans="1:8" ht="30" x14ac:dyDescent="0.25">
      <c r="A165" s="38">
        <f>+IF(B165="","",SUBTOTAL(3,$B$7:B165))</f>
        <v>159</v>
      </c>
      <c r="B165" s="40" t="s">
        <v>710</v>
      </c>
      <c r="C165" s="41">
        <v>45736</v>
      </c>
      <c r="D165" s="40" t="s">
        <v>863</v>
      </c>
      <c r="E165" s="38" t="s">
        <v>753</v>
      </c>
      <c r="F165" s="51">
        <v>2</v>
      </c>
      <c r="G165" s="51">
        <v>7896</v>
      </c>
      <c r="H165" s="51">
        <f t="shared" si="3"/>
        <v>15792</v>
      </c>
    </row>
    <row r="166" spans="1:8" x14ac:dyDescent="0.25">
      <c r="A166" s="38">
        <f>+IF(B166="","",SUBTOTAL(3,$B$7:B166))</f>
        <v>160</v>
      </c>
      <c r="B166" s="40" t="s">
        <v>710</v>
      </c>
      <c r="C166" s="41">
        <v>45736</v>
      </c>
      <c r="D166" s="40" t="s">
        <v>699</v>
      </c>
      <c r="E166" s="38" t="s">
        <v>101</v>
      </c>
      <c r="F166" s="51">
        <v>6</v>
      </c>
      <c r="G166" s="51">
        <v>1111.1099999999999</v>
      </c>
      <c r="H166" s="51">
        <f t="shared" si="3"/>
        <v>6666.66</v>
      </c>
    </row>
    <row r="167" spans="1:8" x14ac:dyDescent="0.25">
      <c r="A167" s="38">
        <f>+IF(B167="","",SUBTOTAL(3,$B$7:B167))</f>
        <v>161</v>
      </c>
      <c r="B167" s="40" t="s">
        <v>710</v>
      </c>
      <c r="C167" s="41">
        <v>45736</v>
      </c>
      <c r="D167" s="40" t="s">
        <v>208</v>
      </c>
      <c r="E167" s="38" t="s">
        <v>101</v>
      </c>
      <c r="F167" s="51">
        <v>2</v>
      </c>
      <c r="G167" s="51">
        <v>3333.33</v>
      </c>
      <c r="H167" s="51">
        <f t="shared" si="3"/>
        <v>6666.66</v>
      </c>
    </row>
    <row r="168" spans="1:8" ht="45" x14ac:dyDescent="0.25">
      <c r="A168" s="38">
        <f>+IF(B168="","",SUBTOTAL(3,$B$7:B168))</f>
        <v>162</v>
      </c>
      <c r="B168" s="40" t="s">
        <v>457</v>
      </c>
      <c r="C168" s="41">
        <v>45740</v>
      </c>
      <c r="D168" s="40" t="s">
        <v>188</v>
      </c>
      <c r="E168" s="38" t="s">
        <v>101</v>
      </c>
      <c r="F168" s="51">
        <v>1</v>
      </c>
      <c r="G168" s="51">
        <v>36000</v>
      </c>
      <c r="H168" s="51">
        <f t="shared" si="3"/>
        <v>36000</v>
      </c>
    </row>
    <row r="169" spans="1:8" ht="45" x14ac:dyDescent="0.25">
      <c r="A169" s="38">
        <f>+IF(B169="","",SUBTOTAL(3,$B$7:B169))</f>
        <v>163</v>
      </c>
      <c r="B169" s="40" t="s">
        <v>457</v>
      </c>
      <c r="C169" s="41">
        <v>45740</v>
      </c>
      <c r="D169" s="40" t="s">
        <v>699</v>
      </c>
      <c r="E169" s="38" t="s">
        <v>101</v>
      </c>
      <c r="F169" s="51">
        <v>2</v>
      </c>
      <c r="G169" s="51">
        <v>1111.1099999999999</v>
      </c>
      <c r="H169" s="51">
        <f t="shared" si="3"/>
        <v>2222.2199999999998</v>
      </c>
    </row>
    <row r="170" spans="1:8" ht="30" x14ac:dyDescent="0.25">
      <c r="A170" s="38">
        <f>+IF(B170="","",SUBTOTAL(3,$B$7:B170))</f>
        <v>164</v>
      </c>
      <c r="B170" s="40" t="s">
        <v>462</v>
      </c>
      <c r="C170" s="41">
        <v>45743</v>
      </c>
      <c r="D170" s="40" t="s">
        <v>188</v>
      </c>
      <c r="E170" s="38" t="s">
        <v>101</v>
      </c>
      <c r="F170" s="51">
        <v>2</v>
      </c>
      <c r="G170" s="51">
        <v>36000</v>
      </c>
      <c r="H170" s="51">
        <f t="shared" si="3"/>
        <v>72000</v>
      </c>
    </row>
    <row r="171" spans="1:8" ht="30" x14ac:dyDescent="0.25">
      <c r="A171" s="38">
        <f>+IF(B171="","",SUBTOTAL(3,$B$7:B171))</f>
        <v>165</v>
      </c>
      <c r="B171" s="40" t="s">
        <v>462</v>
      </c>
      <c r="C171" s="41">
        <v>45743</v>
      </c>
      <c r="D171" s="40" t="s">
        <v>208</v>
      </c>
      <c r="E171" s="38" t="s">
        <v>101</v>
      </c>
      <c r="F171" s="51">
        <v>2</v>
      </c>
      <c r="G171" s="51">
        <v>3333.33</v>
      </c>
      <c r="H171" s="51">
        <f t="shared" si="3"/>
        <v>6666.66</v>
      </c>
    </row>
    <row r="172" spans="1:8" ht="30" x14ac:dyDescent="0.25">
      <c r="A172" s="38">
        <f>+IF(B172="","",SUBTOTAL(3,$B$7:B172))</f>
        <v>166</v>
      </c>
      <c r="B172" s="40" t="s">
        <v>462</v>
      </c>
      <c r="C172" s="41">
        <v>45743</v>
      </c>
      <c r="D172" s="40" t="s">
        <v>709</v>
      </c>
      <c r="E172" s="38" t="s">
        <v>101</v>
      </c>
      <c r="F172" s="51">
        <v>3</v>
      </c>
      <c r="G172" s="51">
        <v>10000</v>
      </c>
      <c r="H172" s="51">
        <f t="shared" si="3"/>
        <v>30000</v>
      </c>
    </row>
    <row r="173" spans="1:8" x14ac:dyDescent="0.25">
      <c r="A173" s="38">
        <f>+IF(B173="","",SUBTOTAL(3,$B$7:B173))</f>
        <v>167</v>
      </c>
      <c r="B173" s="40" t="s">
        <v>451</v>
      </c>
      <c r="C173" s="41">
        <v>45744</v>
      </c>
      <c r="D173" s="40" t="s">
        <v>188</v>
      </c>
      <c r="E173" s="38" t="s">
        <v>101</v>
      </c>
      <c r="F173" s="51">
        <v>1</v>
      </c>
      <c r="G173" s="51">
        <v>36000</v>
      </c>
      <c r="H173" s="51">
        <f t="shared" si="3"/>
        <v>36000</v>
      </c>
    </row>
    <row r="174" spans="1:8" x14ac:dyDescent="0.25">
      <c r="A174" s="38">
        <f>+IF(B174="","",SUBTOTAL(3,$B$7:B174))</f>
        <v>168</v>
      </c>
      <c r="B174" s="40" t="s">
        <v>451</v>
      </c>
      <c r="C174" s="41">
        <v>45744</v>
      </c>
      <c r="D174" s="40" t="s">
        <v>768</v>
      </c>
      <c r="E174" s="38" t="s">
        <v>101</v>
      </c>
      <c r="F174" s="51">
        <v>1</v>
      </c>
      <c r="G174" s="51">
        <v>40000</v>
      </c>
      <c r="H174" s="51">
        <f t="shared" si="3"/>
        <v>40000</v>
      </c>
    </row>
    <row r="175" spans="1:8" x14ac:dyDescent="0.25">
      <c r="A175" s="38">
        <f>+IF(B175="","",SUBTOTAL(3,$B$7:B175))</f>
        <v>169</v>
      </c>
      <c r="B175" s="40" t="s">
        <v>451</v>
      </c>
      <c r="C175" s="41">
        <v>45744</v>
      </c>
      <c r="D175" s="40" t="s">
        <v>752</v>
      </c>
      <c r="E175" s="38" t="s">
        <v>101</v>
      </c>
      <c r="F175" s="51">
        <v>2</v>
      </c>
      <c r="G175" s="51">
        <v>2490</v>
      </c>
      <c r="H175" s="51">
        <f t="shared" si="3"/>
        <v>4980</v>
      </c>
    </row>
    <row r="176" spans="1:8" x14ac:dyDescent="0.25">
      <c r="A176" s="38">
        <f>+IF(B176="","",SUBTOTAL(3,$B$7:B176))</f>
        <v>170</v>
      </c>
      <c r="B176" s="40" t="s">
        <v>451</v>
      </c>
      <c r="C176" s="41">
        <v>45744</v>
      </c>
      <c r="D176" s="40" t="s">
        <v>709</v>
      </c>
      <c r="E176" s="38" t="s">
        <v>101</v>
      </c>
      <c r="F176" s="51">
        <v>4</v>
      </c>
      <c r="G176" s="51">
        <v>10000</v>
      </c>
      <c r="H176" s="51">
        <f t="shared" si="3"/>
        <v>40000</v>
      </c>
    </row>
    <row r="177" spans="1:8" x14ac:dyDescent="0.25">
      <c r="A177" s="38">
        <f>+IF(B177="","",SUBTOTAL(3,$B$7:B177))</f>
        <v>171</v>
      </c>
      <c r="B177" s="40" t="s">
        <v>451</v>
      </c>
      <c r="C177" s="41">
        <v>45744</v>
      </c>
      <c r="D177" s="40" t="s">
        <v>196</v>
      </c>
      <c r="E177" s="38" t="s">
        <v>101</v>
      </c>
      <c r="F177" s="51">
        <v>6</v>
      </c>
      <c r="G177" s="51">
        <v>6999</v>
      </c>
      <c r="H177" s="51">
        <f t="shared" si="3"/>
        <v>41994</v>
      </c>
    </row>
    <row r="178" spans="1:8" x14ac:dyDescent="0.25">
      <c r="A178" s="38">
        <f>+IF(B178="","",SUBTOTAL(3,$B$7:B178))</f>
        <v>172</v>
      </c>
      <c r="B178" s="40" t="s">
        <v>451</v>
      </c>
      <c r="C178" s="41">
        <v>45744</v>
      </c>
      <c r="D178" s="40" t="s">
        <v>699</v>
      </c>
      <c r="E178" s="38" t="s">
        <v>101</v>
      </c>
      <c r="F178" s="51">
        <v>6</v>
      </c>
      <c r="G178" s="51">
        <v>1111.1099999999999</v>
      </c>
      <c r="H178" s="51">
        <f t="shared" si="3"/>
        <v>6666.66</v>
      </c>
    </row>
    <row r="179" spans="1:8" x14ac:dyDescent="0.25">
      <c r="A179" s="38">
        <f>+IF(B179="","",SUBTOTAL(3,$B$7:B179))</f>
        <v>173</v>
      </c>
      <c r="B179" s="40" t="s">
        <v>451</v>
      </c>
      <c r="C179" s="41">
        <v>45744</v>
      </c>
      <c r="D179" s="40" t="s">
        <v>746</v>
      </c>
      <c r="E179" s="38" t="s">
        <v>101</v>
      </c>
      <c r="F179" s="51">
        <v>1</v>
      </c>
      <c r="G179" s="51">
        <v>3000</v>
      </c>
      <c r="H179" s="51">
        <f t="shared" si="3"/>
        <v>3000</v>
      </c>
    </row>
    <row r="180" spans="1:8" x14ac:dyDescent="0.25">
      <c r="A180" s="38">
        <f>+IF(B180="","",SUBTOTAL(3,$B$7:B180))</f>
        <v>174</v>
      </c>
      <c r="B180" s="40" t="s">
        <v>451</v>
      </c>
      <c r="C180" s="41">
        <v>45744</v>
      </c>
      <c r="D180" s="40" t="s">
        <v>700</v>
      </c>
      <c r="E180" s="38" t="s">
        <v>101</v>
      </c>
      <c r="F180" s="51">
        <v>2</v>
      </c>
      <c r="G180" s="51">
        <v>1090</v>
      </c>
      <c r="H180" s="51">
        <f t="shared" si="3"/>
        <v>2180</v>
      </c>
    </row>
    <row r="181" spans="1:8" x14ac:dyDescent="0.25">
      <c r="A181" s="38">
        <f>+IF(B181="","",SUBTOTAL(3,$B$7:B181))</f>
        <v>175</v>
      </c>
      <c r="B181" s="40" t="s">
        <v>451</v>
      </c>
      <c r="C181" s="41">
        <v>45744</v>
      </c>
      <c r="D181" s="40" t="s">
        <v>769</v>
      </c>
      <c r="E181" s="38" t="s">
        <v>140</v>
      </c>
      <c r="F181" s="51">
        <v>1</v>
      </c>
      <c r="G181" s="51">
        <v>3800</v>
      </c>
      <c r="H181" s="51">
        <f t="shared" si="3"/>
        <v>3800</v>
      </c>
    </row>
    <row r="182" spans="1:8" x14ac:dyDescent="0.25">
      <c r="A182" s="38">
        <f>+IF(B182="","",SUBTOTAL(3,$B$7:B182))</f>
        <v>176</v>
      </c>
      <c r="B182" s="40" t="s">
        <v>451</v>
      </c>
      <c r="C182" s="41">
        <v>45744</v>
      </c>
      <c r="D182" s="40" t="s">
        <v>770</v>
      </c>
      <c r="E182" s="38" t="s">
        <v>101</v>
      </c>
      <c r="F182" s="51">
        <v>2</v>
      </c>
      <c r="G182" s="51">
        <v>70000</v>
      </c>
      <c r="H182" s="51">
        <f t="shared" si="3"/>
        <v>140000</v>
      </c>
    </row>
    <row r="183" spans="1:8" x14ac:dyDescent="0.25">
      <c r="A183" s="38">
        <f>+IF(B183="","",SUBTOTAL(3,$B$7:B183))</f>
        <v>177</v>
      </c>
      <c r="B183" s="40" t="s">
        <v>451</v>
      </c>
      <c r="C183" s="41">
        <v>45744</v>
      </c>
      <c r="D183" s="40" t="s">
        <v>736</v>
      </c>
      <c r="E183" s="38" t="s">
        <v>140</v>
      </c>
      <c r="F183" s="51">
        <v>2</v>
      </c>
      <c r="G183" s="51">
        <v>4000</v>
      </c>
      <c r="H183" s="51">
        <f t="shared" si="3"/>
        <v>8000</v>
      </c>
    </row>
    <row r="184" spans="1:8" ht="30" x14ac:dyDescent="0.25">
      <c r="A184" s="38">
        <f>+IF(B184="","",SUBTOTAL(3,$B$7:B184))</f>
        <v>178</v>
      </c>
      <c r="B184" s="40" t="s">
        <v>472</v>
      </c>
      <c r="C184" s="41">
        <v>45751</v>
      </c>
      <c r="D184" s="40" t="s">
        <v>735</v>
      </c>
      <c r="E184" s="38" t="s">
        <v>101</v>
      </c>
      <c r="F184" s="51">
        <v>1</v>
      </c>
      <c r="G184" s="51">
        <v>280720</v>
      </c>
      <c r="H184" s="51">
        <f t="shared" si="3"/>
        <v>280720</v>
      </c>
    </row>
    <row r="185" spans="1:8" x14ac:dyDescent="0.25">
      <c r="A185" s="38">
        <f>+IF(B185="","",SUBTOTAL(3,$B$7:B185))</f>
        <v>179</v>
      </c>
      <c r="B185" s="40" t="s">
        <v>442</v>
      </c>
      <c r="C185" s="41">
        <v>45751</v>
      </c>
      <c r="D185" s="40" t="s">
        <v>188</v>
      </c>
      <c r="E185" s="38" t="s">
        <v>101</v>
      </c>
      <c r="F185" s="51">
        <v>2</v>
      </c>
      <c r="G185" s="51">
        <v>36000</v>
      </c>
      <c r="H185" s="51">
        <f t="shared" si="3"/>
        <v>72000</v>
      </c>
    </row>
    <row r="186" spans="1:8" x14ac:dyDescent="0.25">
      <c r="A186" s="38">
        <f>+IF(B186="","",SUBTOTAL(3,$B$7:B186))</f>
        <v>180</v>
      </c>
      <c r="B186" s="40" t="s">
        <v>442</v>
      </c>
      <c r="C186" s="41">
        <v>45751</v>
      </c>
      <c r="D186" s="40" t="s">
        <v>746</v>
      </c>
      <c r="E186" s="38" t="s">
        <v>101</v>
      </c>
      <c r="F186" s="51">
        <v>1</v>
      </c>
      <c r="G186" s="51">
        <v>3000</v>
      </c>
      <c r="H186" s="51">
        <f t="shared" si="3"/>
        <v>3000</v>
      </c>
    </row>
    <row r="187" spans="1:8" x14ac:dyDescent="0.25">
      <c r="A187" s="38">
        <f>+IF(B187="","",SUBTOTAL(3,$B$7:B187))</f>
        <v>181</v>
      </c>
      <c r="B187" s="40" t="s">
        <v>442</v>
      </c>
      <c r="C187" s="41">
        <v>45751</v>
      </c>
      <c r="D187" s="40" t="s">
        <v>713</v>
      </c>
      <c r="E187" s="38" t="s">
        <v>101</v>
      </c>
      <c r="F187" s="51">
        <v>1</v>
      </c>
      <c r="G187" s="51">
        <v>32888</v>
      </c>
      <c r="H187" s="51">
        <f t="shared" si="3"/>
        <v>32888</v>
      </c>
    </row>
    <row r="188" spans="1:8" x14ac:dyDescent="0.25">
      <c r="A188" s="38">
        <f>+IF(B188="","",SUBTOTAL(3,$B$7:B188))</f>
        <v>182</v>
      </c>
      <c r="B188" s="40" t="s">
        <v>442</v>
      </c>
      <c r="C188" s="41">
        <v>45751</v>
      </c>
      <c r="D188" s="40" t="s">
        <v>714</v>
      </c>
      <c r="E188" s="38" t="s">
        <v>101</v>
      </c>
      <c r="F188" s="51">
        <v>1</v>
      </c>
      <c r="G188" s="51">
        <v>20000</v>
      </c>
      <c r="H188" s="51">
        <f t="shared" si="3"/>
        <v>20000</v>
      </c>
    </row>
    <row r="189" spans="1:8" x14ac:dyDescent="0.25">
      <c r="A189" s="38">
        <f>+IF(B189="","",SUBTOTAL(3,$B$7:B189))</f>
        <v>183</v>
      </c>
      <c r="B189" s="40" t="s">
        <v>442</v>
      </c>
      <c r="C189" s="41">
        <v>45751</v>
      </c>
      <c r="D189" s="40" t="s">
        <v>712</v>
      </c>
      <c r="E189" s="38" t="s">
        <v>101</v>
      </c>
      <c r="F189" s="51">
        <v>5</v>
      </c>
      <c r="G189" s="51">
        <v>8800</v>
      </c>
      <c r="H189" s="51">
        <f t="shared" si="3"/>
        <v>44000</v>
      </c>
    </row>
    <row r="190" spans="1:8" ht="30" x14ac:dyDescent="0.25">
      <c r="A190" s="38">
        <f>+IF(B190="","",SUBTOTAL(3,$B$7:B190))</f>
        <v>184</v>
      </c>
      <c r="B190" s="40" t="s">
        <v>462</v>
      </c>
      <c r="C190" s="41">
        <v>45754</v>
      </c>
      <c r="D190" s="40" t="s">
        <v>188</v>
      </c>
      <c r="E190" s="38" t="s">
        <v>101</v>
      </c>
      <c r="F190" s="51">
        <v>2</v>
      </c>
      <c r="G190" s="51">
        <v>36000</v>
      </c>
      <c r="H190" s="51">
        <f t="shared" si="3"/>
        <v>72000</v>
      </c>
    </row>
    <row r="191" spans="1:8" ht="30" x14ac:dyDescent="0.25">
      <c r="A191" s="38">
        <f>+IF(B191="","",SUBTOTAL(3,$B$7:B191))</f>
        <v>185</v>
      </c>
      <c r="B191" s="40" t="s">
        <v>462</v>
      </c>
      <c r="C191" s="41">
        <v>45754</v>
      </c>
      <c r="D191" s="40" t="s">
        <v>208</v>
      </c>
      <c r="E191" s="38" t="s">
        <v>101</v>
      </c>
      <c r="F191" s="51">
        <v>2</v>
      </c>
      <c r="G191" s="51">
        <v>3333.33</v>
      </c>
      <c r="H191" s="51">
        <f t="shared" si="3"/>
        <v>6666.66</v>
      </c>
    </row>
    <row r="192" spans="1:8" x14ac:dyDescent="0.25">
      <c r="A192" s="38">
        <f>+IF(B192="","",SUBTOTAL(3,$B$7:B192))</f>
        <v>186</v>
      </c>
      <c r="B192" s="40" t="s">
        <v>717</v>
      </c>
      <c r="C192" s="41">
        <v>45754</v>
      </c>
      <c r="D192" s="40" t="s">
        <v>188</v>
      </c>
      <c r="E192" s="38" t="s">
        <v>101</v>
      </c>
      <c r="F192" s="51">
        <v>2</v>
      </c>
      <c r="G192" s="51">
        <v>36000</v>
      </c>
      <c r="H192" s="51">
        <f t="shared" si="3"/>
        <v>72000</v>
      </c>
    </row>
    <row r="193" spans="1:8" x14ac:dyDescent="0.25">
      <c r="A193" s="38">
        <f>+IF(B193="","",SUBTOTAL(3,$B$7:B193))</f>
        <v>187</v>
      </c>
      <c r="B193" s="40" t="s">
        <v>717</v>
      </c>
      <c r="C193" s="41">
        <v>45754</v>
      </c>
      <c r="D193" s="40" t="s">
        <v>699</v>
      </c>
      <c r="E193" s="38" t="s">
        <v>101</v>
      </c>
      <c r="F193" s="51">
        <v>6</v>
      </c>
      <c r="G193" s="51">
        <v>1111.1099999999999</v>
      </c>
      <c r="H193" s="51">
        <f t="shared" si="3"/>
        <v>6666.66</v>
      </c>
    </row>
    <row r="194" spans="1:8" x14ac:dyDescent="0.25">
      <c r="A194" s="38">
        <f>+IF(B194="","",SUBTOTAL(3,$B$7:B194))</f>
        <v>188</v>
      </c>
      <c r="B194" s="40" t="s">
        <v>717</v>
      </c>
      <c r="C194" s="41">
        <v>45754</v>
      </c>
      <c r="D194" s="40" t="s">
        <v>709</v>
      </c>
      <c r="E194" s="38" t="s">
        <v>101</v>
      </c>
      <c r="F194" s="51">
        <v>3</v>
      </c>
      <c r="G194" s="51">
        <v>10000</v>
      </c>
      <c r="H194" s="51">
        <f t="shared" si="3"/>
        <v>30000</v>
      </c>
    </row>
    <row r="195" spans="1:8" x14ac:dyDescent="0.25">
      <c r="A195" s="38">
        <f>+IF(B195="","",SUBTOTAL(3,$B$7:B195))</f>
        <v>189</v>
      </c>
      <c r="B195" s="40" t="s">
        <v>717</v>
      </c>
      <c r="C195" s="41">
        <v>45754</v>
      </c>
      <c r="D195" s="40" t="s">
        <v>208</v>
      </c>
      <c r="E195" s="38" t="s">
        <v>101</v>
      </c>
      <c r="F195" s="51">
        <v>2</v>
      </c>
      <c r="G195" s="51">
        <v>3333.33</v>
      </c>
      <c r="H195" s="51">
        <f t="shared" si="3"/>
        <v>6666.66</v>
      </c>
    </row>
    <row r="196" spans="1:8" x14ac:dyDescent="0.25">
      <c r="A196" s="38">
        <f>+IF(B196="","",SUBTOTAL(3,$B$7:B196))</f>
        <v>190</v>
      </c>
      <c r="B196" s="40" t="s">
        <v>717</v>
      </c>
      <c r="C196" s="41">
        <v>45754</v>
      </c>
      <c r="D196" s="40" t="s">
        <v>196</v>
      </c>
      <c r="E196" s="38" t="s">
        <v>101</v>
      </c>
      <c r="F196" s="51">
        <v>2</v>
      </c>
      <c r="G196" s="51">
        <v>6999</v>
      </c>
      <c r="H196" s="51">
        <f t="shared" si="3"/>
        <v>13998</v>
      </c>
    </row>
    <row r="197" spans="1:8" x14ac:dyDescent="0.25">
      <c r="A197" s="38">
        <f>+IF(B197="","",SUBTOTAL(3,$B$7:B197))</f>
        <v>191</v>
      </c>
      <c r="B197" s="40" t="s">
        <v>717</v>
      </c>
      <c r="C197" s="41">
        <v>45754</v>
      </c>
      <c r="D197" s="40" t="s">
        <v>771</v>
      </c>
      <c r="E197" s="38" t="s">
        <v>101</v>
      </c>
      <c r="F197" s="51">
        <v>100</v>
      </c>
      <c r="G197" s="51">
        <v>380</v>
      </c>
      <c r="H197" s="51">
        <f t="shared" si="3"/>
        <v>38000</v>
      </c>
    </row>
    <row r="198" spans="1:8" x14ac:dyDescent="0.25">
      <c r="A198" s="38">
        <f>+IF(B198="","",SUBTOTAL(3,$B$7:B198))</f>
        <v>192</v>
      </c>
      <c r="B198" s="40" t="s">
        <v>717</v>
      </c>
      <c r="C198" s="41">
        <v>45754</v>
      </c>
      <c r="D198" s="40" t="s">
        <v>772</v>
      </c>
      <c r="E198" s="38" t="s">
        <v>101</v>
      </c>
      <c r="F198" s="51">
        <v>100</v>
      </c>
      <c r="G198" s="51">
        <v>1904</v>
      </c>
      <c r="H198" s="51">
        <f t="shared" si="3"/>
        <v>190400</v>
      </c>
    </row>
    <row r="199" spans="1:8" ht="30" x14ac:dyDescent="0.25">
      <c r="A199" s="38">
        <f>+IF(B199="","",SUBTOTAL(3,$B$7:B199))</f>
        <v>193</v>
      </c>
      <c r="B199" s="40" t="s">
        <v>462</v>
      </c>
      <c r="C199" s="41">
        <v>45755</v>
      </c>
      <c r="D199" s="40" t="s">
        <v>739</v>
      </c>
      <c r="E199" s="38" t="s">
        <v>101</v>
      </c>
      <c r="F199" s="51">
        <v>1</v>
      </c>
      <c r="G199" s="51">
        <v>81000</v>
      </c>
      <c r="H199" s="51">
        <f t="shared" si="3"/>
        <v>81000</v>
      </c>
    </row>
    <row r="200" spans="1:8" x14ac:dyDescent="0.25">
      <c r="A200" s="38">
        <f>+IF(B200="","",SUBTOTAL(3,$B$7:B200))</f>
        <v>194</v>
      </c>
      <c r="B200" s="40" t="s">
        <v>705</v>
      </c>
      <c r="C200" s="41">
        <v>45761</v>
      </c>
      <c r="D200" s="40" t="s">
        <v>722</v>
      </c>
      <c r="E200" s="38" t="s">
        <v>101</v>
      </c>
      <c r="F200" s="51">
        <v>35000</v>
      </c>
      <c r="G200" s="51">
        <v>13</v>
      </c>
      <c r="H200" s="51">
        <f t="shared" si="3"/>
        <v>455000</v>
      </c>
    </row>
    <row r="201" spans="1:8" x14ac:dyDescent="0.25">
      <c r="A201" s="38">
        <f>+IF(B201="","",SUBTOTAL(3,$B$7:B201))</f>
        <v>195</v>
      </c>
      <c r="B201" s="40" t="s">
        <v>705</v>
      </c>
      <c r="C201" s="41">
        <v>45761</v>
      </c>
      <c r="D201" s="40" t="s">
        <v>721</v>
      </c>
      <c r="E201" s="38" t="s">
        <v>101</v>
      </c>
      <c r="F201" s="51">
        <v>20000</v>
      </c>
      <c r="G201" s="51">
        <v>13</v>
      </c>
      <c r="H201" s="51">
        <f t="shared" si="3"/>
        <v>260000</v>
      </c>
    </row>
    <row r="202" spans="1:8" x14ac:dyDescent="0.25">
      <c r="A202" s="38">
        <f>+IF(B202="","",SUBTOTAL(3,$B$7:B202))</f>
        <v>196</v>
      </c>
      <c r="B202" s="40" t="s">
        <v>705</v>
      </c>
      <c r="C202" s="41">
        <v>45761</v>
      </c>
      <c r="D202" s="40" t="s">
        <v>719</v>
      </c>
      <c r="E202" s="38" t="s">
        <v>101</v>
      </c>
      <c r="F202" s="51">
        <v>40000</v>
      </c>
      <c r="G202" s="51">
        <v>13</v>
      </c>
      <c r="H202" s="51">
        <f t="shared" si="3"/>
        <v>520000</v>
      </c>
    </row>
    <row r="203" spans="1:8" x14ac:dyDescent="0.25">
      <c r="A203" s="38">
        <f>+IF(B203="","",SUBTOTAL(3,$B$7:B203))</f>
        <v>197</v>
      </c>
      <c r="B203" s="40" t="s">
        <v>705</v>
      </c>
      <c r="C203" s="41">
        <v>45761</v>
      </c>
      <c r="D203" s="40" t="s">
        <v>720</v>
      </c>
      <c r="E203" s="38" t="s">
        <v>101</v>
      </c>
      <c r="F203" s="51">
        <v>10000</v>
      </c>
      <c r="G203" s="51">
        <v>13</v>
      </c>
      <c r="H203" s="51">
        <f t="shared" si="3"/>
        <v>130000</v>
      </c>
    </row>
    <row r="204" spans="1:8" x14ac:dyDescent="0.25">
      <c r="A204" s="38">
        <f>+IF(B204="","",SUBTOTAL(3,$B$7:B204))</f>
        <v>198</v>
      </c>
      <c r="B204" s="40" t="s">
        <v>705</v>
      </c>
      <c r="C204" s="41">
        <v>45761</v>
      </c>
      <c r="D204" s="40" t="s">
        <v>756</v>
      </c>
      <c r="E204" s="38" t="s">
        <v>101</v>
      </c>
      <c r="F204" s="51">
        <v>25000</v>
      </c>
      <c r="G204" s="51">
        <v>13</v>
      </c>
      <c r="H204" s="51">
        <f t="shared" si="3"/>
        <v>325000</v>
      </c>
    </row>
    <row r="205" spans="1:8" x14ac:dyDescent="0.25">
      <c r="A205" s="38">
        <f>+IF(B205="","",SUBTOTAL(3,$B$7:B205))</f>
        <v>199</v>
      </c>
      <c r="B205" s="40" t="s">
        <v>705</v>
      </c>
      <c r="C205" s="41">
        <v>45761</v>
      </c>
      <c r="D205" s="40" t="s">
        <v>758</v>
      </c>
      <c r="E205" s="38" t="s">
        <v>101</v>
      </c>
      <c r="F205" s="51">
        <v>4500</v>
      </c>
      <c r="G205" s="51">
        <v>34.950000000000003</v>
      </c>
      <c r="H205" s="51">
        <f t="shared" si="3"/>
        <v>157275</v>
      </c>
    </row>
    <row r="206" spans="1:8" x14ac:dyDescent="0.25">
      <c r="A206" s="38">
        <f>+IF(B206="","",SUBTOTAL(3,$B$7:B206))</f>
        <v>200</v>
      </c>
      <c r="B206" s="40" t="s">
        <v>705</v>
      </c>
      <c r="C206" s="41">
        <v>45761</v>
      </c>
      <c r="D206" s="40" t="s">
        <v>757</v>
      </c>
      <c r="E206" s="38" t="s">
        <v>101</v>
      </c>
      <c r="F206" s="51">
        <v>4900</v>
      </c>
      <c r="G206" s="51">
        <v>34.950000000000003</v>
      </c>
      <c r="H206" s="51">
        <f t="shared" si="3"/>
        <v>171255</v>
      </c>
    </row>
    <row r="207" spans="1:8" x14ac:dyDescent="0.25">
      <c r="A207" s="38">
        <f>+IF(B207="","",SUBTOTAL(3,$B$7:B207))</f>
        <v>201</v>
      </c>
      <c r="B207" s="40" t="s">
        <v>705</v>
      </c>
      <c r="C207" s="41">
        <v>45761</v>
      </c>
      <c r="D207" s="40" t="s">
        <v>724</v>
      </c>
      <c r="E207" s="38" t="s">
        <v>101</v>
      </c>
      <c r="F207" s="51">
        <v>6300</v>
      </c>
      <c r="G207" s="51">
        <v>34.950000000000003</v>
      </c>
      <c r="H207" s="51">
        <f t="shared" si="3"/>
        <v>220185.00000000003</v>
      </c>
    </row>
    <row r="208" spans="1:8" x14ac:dyDescent="0.25">
      <c r="A208" s="38">
        <f>+IF(B208="","",SUBTOTAL(3,$B$7:B208))</f>
        <v>202</v>
      </c>
      <c r="B208" s="40" t="s">
        <v>705</v>
      </c>
      <c r="C208" s="41">
        <v>45761</v>
      </c>
      <c r="D208" s="40" t="s">
        <v>229</v>
      </c>
      <c r="E208" s="38" t="s">
        <v>741</v>
      </c>
      <c r="F208" s="51">
        <v>25</v>
      </c>
      <c r="G208" s="51">
        <v>26500</v>
      </c>
      <c r="H208" s="51">
        <f t="shared" si="3"/>
        <v>662500</v>
      </c>
    </row>
    <row r="209" spans="1:10" x14ac:dyDescent="0.25">
      <c r="A209" s="38">
        <f>+IF(B209="","",SUBTOTAL(3,$B$7:B209))</f>
        <v>203</v>
      </c>
      <c r="B209" s="40" t="s">
        <v>705</v>
      </c>
      <c r="C209" s="41">
        <v>45761</v>
      </c>
      <c r="D209" s="40" t="s">
        <v>773</v>
      </c>
      <c r="E209" s="38" t="s">
        <v>741</v>
      </c>
      <c r="F209" s="51">
        <v>2</v>
      </c>
      <c r="G209" s="51">
        <v>19850</v>
      </c>
      <c r="H209" s="51">
        <f t="shared" si="3"/>
        <v>39700</v>
      </c>
    </row>
    <row r="210" spans="1:10" x14ac:dyDescent="0.25">
      <c r="A210" s="38">
        <f>+IF(B210="","",SUBTOTAL(3,$B$7:B210))</f>
        <v>204</v>
      </c>
      <c r="B210" s="40" t="s">
        <v>705</v>
      </c>
      <c r="C210" s="41">
        <v>45761</v>
      </c>
      <c r="D210" s="40" t="s">
        <v>100</v>
      </c>
      <c r="E210" s="38" t="s">
        <v>101</v>
      </c>
      <c r="F210" s="51">
        <v>10000</v>
      </c>
      <c r="G210" s="51">
        <v>140</v>
      </c>
      <c r="H210" s="51">
        <f t="shared" si="3"/>
        <v>1400000</v>
      </c>
    </row>
    <row r="211" spans="1:10" ht="30" x14ac:dyDescent="0.25">
      <c r="A211" s="38">
        <f>+IF(B211="","",SUBTOTAL(3,$B$7:B211))</f>
        <v>205</v>
      </c>
      <c r="B211" s="40" t="s">
        <v>717</v>
      </c>
      <c r="C211" s="41">
        <v>45763</v>
      </c>
      <c r="D211" s="40" t="s">
        <v>863</v>
      </c>
      <c r="E211" s="38" t="s">
        <v>753</v>
      </c>
      <c r="F211" s="51">
        <v>2</v>
      </c>
      <c r="G211" s="51">
        <v>7896</v>
      </c>
      <c r="H211" s="51">
        <f t="shared" si="3"/>
        <v>15792</v>
      </c>
      <c r="I211">
        <v>31584</v>
      </c>
      <c r="J211">
        <f>+I211/F211</f>
        <v>15792</v>
      </c>
    </row>
    <row r="212" spans="1:10" x14ac:dyDescent="0.25">
      <c r="A212" s="38">
        <f>+IF(B212="","",SUBTOTAL(3,$B$7:B212))</f>
        <v>206</v>
      </c>
      <c r="B212" s="40" t="s">
        <v>717</v>
      </c>
      <c r="C212" s="41">
        <v>45763</v>
      </c>
      <c r="D212" s="40" t="s">
        <v>716</v>
      </c>
      <c r="E212" s="38" t="s">
        <v>101</v>
      </c>
      <c r="F212" s="51">
        <v>4</v>
      </c>
      <c r="G212" s="51">
        <v>4400</v>
      </c>
      <c r="H212" s="51">
        <f t="shared" si="3"/>
        <v>17600</v>
      </c>
      <c r="I212">
        <v>35200</v>
      </c>
      <c r="J212">
        <f>+I212/F212</f>
        <v>8800</v>
      </c>
    </row>
    <row r="213" spans="1:10" x14ac:dyDescent="0.25">
      <c r="A213" s="38">
        <f>+IF(B213="","",SUBTOTAL(3,$B$7:B213))</f>
        <v>207</v>
      </c>
      <c r="B213" s="40" t="s">
        <v>717</v>
      </c>
      <c r="C213" s="41">
        <v>45763</v>
      </c>
      <c r="D213" s="40" t="s">
        <v>730</v>
      </c>
      <c r="E213" s="38" t="s">
        <v>101</v>
      </c>
      <c r="F213" s="51">
        <v>2</v>
      </c>
      <c r="G213" s="51">
        <v>23000</v>
      </c>
      <c r="H213" s="51">
        <f t="shared" si="3"/>
        <v>46000</v>
      </c>
    </row>
    <row r="214" spans="1:10" x14ac:dyDescent="0.25">
      <c r="A214" s="38">
        <f>+IF(B214="","",SUBTOTAL(3,$B$7:B214))</f>
        <v>208</v>
      </c>
      <c r="B214" s="40" t="s">
        <v>717</v>
      </c>
      <c r="C214" s="41">
        <v>45763</v>
      </c>
      <c r="D214" s="40" t="s">
        <v>712</v>
      </c>
      <c r="E214" s="38" t="s">
        <v>101</v>
      </c>
      <c r="F214" s="51">
        <v>5</v>
      </c>
      <c r="G214" s="51">
        <v>8800</v>
      </c>
      <c r="H214" s="51">
        <f t="shared" si="3"/>
        <v>44000</v>
      </c>
      <c r="I214">
        <v>92000</v>
      </c>
      <c r="J214">
        <f>+I214/F214</f>
        <v>18400</v>
      </c>
    </row>
    <row r="215" spans="1:10" x14ac:dyDescent="0.25">
      <c r="A215" s="38">
        <f>+IF(B215="","",SUBTOTAL(3,$B$7:B215))</f>
        <v>209</v>
      </c>
      <c r="B215" s="40" t="s">
        <v>717</v>
      </c>
      <c r="C215" s="41">
        <v>45763</v>
      </c>
      <c r="D215" s="40" t="s">
        <v>729</v>
      </c>
      <c r="E215" s="38" t="s">
        <v>101</v>
      </c>
      <c r="F215" s="51">
        <v>1</v>
      </c>
      <c r="G215" s="51">
        <v>55000</v>
      </c>
      <c r="H215" s="51">
        <f t="shared" si="3"/>
        <v>55000</v>
      </c>
    </row>
    <row r="216" spans="1:10" x14ac:dyDescent="0.25">
      <c r="A216" s="38">
        <f>+IF(B216="","",SUBTOTAL(3,$B$7:B216))</f>
        <v>210</v>
      </c>
      <c r="B216" s="40" t="s">
        <v>717</v>
      </c>
      <c r="C216" s="41">
        <v>45763</v>
      </c>
      <c r="D216" s="40" t="s">
        <v>711</v>
      </c>
      <c r="E216" s="38" t="s">
        <v>101</v>
      </c>
      <c r="F216" s="51">
        <v>6</v>
      </c>
      <c r="G216" s="51">
        <v>13668</v>
      </c>
      <c r="H216" s="51">
        <f t="shared" si="3"/>
        <v>82008</v>
      </c>
    </row>
    <row r="217" spans="1:10" x14ac:dyDescent="0.25">
      <c r="A217" s="38">
        <f>+IF(B217="","",SUBTOTAL(3,$B$7:B217))</f>
        <v>211</v>
      </c>
      <c r="B217" s="40" t="s">
        <v>698</v>
      </c>
      <c r="C217" s="41">
        <v>45763</v>
      </c>
      <c r="D217" s="40" t="s">
        <v>699</v>
      </c>
      <c r="E217" s="38" t="s">
        <v>101</v>
      </c>
      <c r="F217" s="51">
        <v>4</v>
      </c>
      <c r="G217" s="51">
        <v>1111.1099999999999</v>
      </c>
      <c r="H217" s="51">
        <f t="shared" si="3"/>
        <v>4444.4399999999996</v>
      </c>
    </row>
    <row r="218" spans="1:10" x14ac:dyDescent="0.25">
      <c r="A218" s="38">
        <f>+IF(B218="","",SUBTOTAL(3,$B$7:B218))</f>
        <v>212</v>
      </c>
      <c r="B218" s="40" t="s">
        <v>698</v>
      </c>
      <c r="C218" s="41">
        <v>45763</v>
      </c>
      <c r="D218" s="40" t="s">
        <v>703</v>
      </c>
      <c r="E218" s="38" t="s">
        <v>101</v>
      </c>
      <c r="F218" s="51">
        <v>2</v>
      </c>
      <c r="G218" s="51">
        <v>9500</v>
      </c>
      <c r="H218" s="51">
        <f t="shared" si="3"/>
        <v>19000</v>
      </c>
    </row>
    <row r="219" spans="1:10" x14ac:dyDescent="0.25">
      <c r="A219" s="38">
        <f>+IF(B219="","",SUBTOTAL(3,$B$7:B219))</f>
        <v>213</v>
      </c>
      <c r="B219" s="40" t="s">
        <v>698</v>
      </c>
      <c r="C219" s="41">
        <v>45763</v>
      </c>
      <c r="D219" s="40" t="s">
        <v>188</v>
      </c>
      <c r="E219" s="38" t="s">
        <v>101</v>
      </c>
      <c r="F219" s="51">
        <v>1</v>
      </c>
      <c r="G219" s="51">
        <v>36000</v>
      </c>
      <c r="H219" s="51">
        <f t="shared" si="3"/>
        <v>36000</v>
      </c>
    </row>
    <row r="220" spans="1:10" x14ac:dyDescent="0.25">
      <c r="A220" s="38">
        <f>+IF(B220="","",SUBTOTAL(3,$B$7:B220))</f>
        <v>214</v>
      </c>
      <c r="B220" s="40" t="s">
        <v>698</v>
      </c>
      <c r="C220" s="41">
        <v>45763</v>
      </c>
      <c r="D220" s="40" t="s">
        <v>196</v>
      </c>
      <c r="E220" s="38" t="s">
        <v>101</v>
      </c>
      <c r="F220" s="51">
        <v>1</v>
      </c>
      <c r="G220" s="51">
        <v>6999</v>
      </c>
      <c r="H220" s="51">
        <f t="shared" si="3"/>
        <v>6999</v>
      </c>
    </row>
    <row r="221" spans="1:10" x14ac:dyDescent="0.25">
      <c r="A221" s="38">
        <f>+IF(B221="","",SUBTOTAL(3,$B$7:B221))</f>
        <v>215</v>
      </c>
      <c r="B221" s="40" t="s">
        <v>698</v>
      </c>
      <c r="C221" s="41">
        <v>45763</v>
      </c>
      <c r="D221" s="40" t="s">
        <v>740</v>
      </c>
      <c r="E221" s="38" t="s">
        <v>144</v>
      </c>
      <c r="F221" s="51">
        <v>18.260000000000002</v>
      </c>
      <c r="G221" s="51">
        <v>22999.999999999996</v>
      </c>
      <c r="H221" s="51">
        <f t="shared" si="3"/>
        <v>419979.99999999994</v>
      </c>
      <c r="I221">
        <v>419980</v>
      </c>
      <c r="J221">
        <f>+I221/F221</f>
        <v>22999.999999999996</v>
      </c>
    </row>
    <row r="222" spans="1:10" x14ac:dyDescent="0.25">
      <c r="A222" s="38">
        <f>+IF(B222="","",SUBTOTAL(3,$B$7:B222))</f>
        <v>216</v>
      </c>
      <c r="B222" s="40" t="s">
        <v>698</v>
      </c>
      <c r="C222" s="41">
        <v>45763</v>
      </c>
      <c r="D222" s="40" t="s">
        <v>702</v>
      </c>
      <c r="E222" s="38" t="s">
        <v>144</v>
      </c>
      <c r="F222" s="51">
        <v>18.98</v>
      </c>
      <c r="G222" s="51">
        <v>23000</v>
      </c>
      <c r="H222" s="51">
        <f t="shared" si="3"/>
        <v>436540</v>
      </c>
      <c r="I222">
        <v>436540</v>
      </c>
      <c r="J222">
        <f>+I222/F222</f>
        <v>23000</v>
      </c>
    </row>
    <row r="223" spans="1:10" x14ac:dyDescent="0.25">
      <c r="A223" s="38">
        <f>+IF(B223="","",SUBTOTAL(3,$B$7:B223))</f>
        <v>217</v>
      </c>
      <c r="B223" s="40" t="s">
        <v>698</v>
      </c>
      <c r="C223" s="41">
        <v>45763</v>
      </c>
      <c r="D223" s="40" t="s">
        <v>700</v>
      </c>
      <c r="E223" s="38" t="s">
        <v>101</v>
      </c>
      <c r="F223" s="51">
        <v>30</v>
      </c>
      <c r="G223" s="51">
        <v>1090</v>
      </c>
      <c r="H223" s="51">
        <f t="shared" si="3"/>
        <v>32700</v>
      </c>
      <c r="I223">
        <v>32700</v>
      </c>
      <c r="J223">
        <f>+I223/F223</f>
        <v>1090</v>
      </c>
    </row>
    <row r="224" spans="1:10" ht="30" x14ac:dyDescent="0.25">
      <c r="A224" s="38">
        <f>+IF(B224="","",SUBTOTAL(3,$B$7:B224))</f>
        <v>218</v>
      </c>
      <c r="B224" s="40" t="s">
        <v>717</v>
      </c>
      <c r="C224" s="41">
        <v>45763</v>
      </c>
      <c r="D224" s="40" t="s">
        <v>774</v>
      </c>
      <c r="E224" s="38" t="s">
        <v>101</v>
      </c>
      <c r="F224" s="51">
        <v>1</v>
      </c>
      <c r="G224" s="51">
        <v>104418.72</v>
      </c>
      <c r="H224" s="51">
        <f t="shared" si="3"/>
        <v>104418.72</v>
      </c>
    </row>
    <row r="225" spans="1:8" ht="30" x14ac:dyDescent="0.25">
      <c r="A225" s="38">
        <f>+IF(B225="","",SUBTOTAL(3,$B$7:B225))</f>
        <v>219</v>
      </c>
      <c r="B225" s="40" t="s">
        <v>717</v>
      </c>
      <c r="C225" s="41">
        <v>45763</v>
      </c>
      <c r="D225" s="40" t="s">
        <v>775</v>
      </c>
      <c r="E225" s="38" t="s">
        <v>101</v>
      </c>
      <c r="F225" s="51">
        <v>1</v>
      </c>
      <c r="G225" s="51">
        <v>107242.24000000001</v>
      </c>
      <c r="H225" s="51">
        <f t="shared" si="3"/>
        <v>107242.24000000001</v>
      </c>
    </row>
    <row r="226" spans="1:8" ht="45" x14ac:dyDescent="0.25">
      <c r="A226" s="38">
        <f>+IF(B226="","",SUBTOTAL(3,$B$7:B226))</f>
        <v>220</v>
      </c>
      <c r="B226" s="40" t="s">
        <v>457</v>
      </c>
      <c r="C226" s="41">
        <v>45769</v>
      </c>
      <c r="D226" s="40" t="s">
        <v>735</v>
      </c>
      <c r="E226" s="38" t="s">
        <v>101</v>
      </c>
      <c r="F226" s="51">
        <v>1</v>
      </c>
      <c r="G226" s="51">
        <v>280720</v>
      </c>
      <c r="H226" s="51">
        <f t="shared" si="3"/>
        <v>280720</v>
      </c>
    </row>
    <row r="227" spans="1:8" ht="45" x14ac:dyDescent="0.25">
      <c r="A227" s="38">
        <f>+IF(B227="","",SUBTOTAL(3,$B$7:B227))</f>
        <v>221</v>
      </c>
      <c r="B227" s="40" t="s">
        <v>457</v>
      </c>
      <c r="C227" s="41">
        <v>45769</v>
      </c>
      <c r="D227" s="40" t="s">
        <v>188</v>
      </c>
      <c r="E227" s="38" t="s">
        <v>101</v>
      </c>
      <c r="F227" s="51">
        <v>1</v>
      </c>
      <c r="G227" s="51">
        <v>36000</v>
      </c>
      <c r="H227" s="51">
        <f t="shared" si="3"/>
        <v>36000</v>
      </c>
    </row>
    <row r="228" spans="1:8" x14ac:dyDescent="0.25">
      <c r="A228" s="38">
        <f>+IF(B228="","",SUBTOTAL(3,$B$7:B228))</f>
        <v>222</v>
      </c>
      <c r="B228" s="40" t="s">
        <v>451</v>
      </c>
      <c r="C228" s="41">
        <v>45770</v>
      </c>
      <c r="D228" s="40" t="s">
        <v>748</v>
      </c>
      <c r="E228" s="38" t="s">
        <v>101</v>
      </c>
      <c r="F228" s="51">
        <v>100</v>
      </c>
      <c r="G228" s="51">
        <v>400</v>
      </c>
      <c r="H228" s="51">
        <f t="shared" si="3"/>
        <v>40000</v>
      </c>
    </row>
    <row r="229" spans="1:8" x14ac:dyDescent="0.25">
      <c r="A229" s="38">
        <f>+IF(B229="","",SUBTOTAL(3,$B$7:B229))</f>
        <v>223</v>
      </c>
      <c r="B229" s="40" t="s">
        <v>451</v>
      </c>
      <c r="C229" s="41">
        <v>45770</v>
      </c>
      <c r="D229" s="40" t="s">
        <v>749</v>
      </c>
      <c r="E229" s="38" t="s">
        <v>101</v>
      </c>
      <c r="F229" s="51">
        <v>100</v>
      </c>
      <c r="G229" s="51">
        <v>600</v>
      </c>
      <c r="H229" s="51">
        <f t="shared" si="3"/>
        <v>60000</v>
      </c>
    </row>
    <row r="230" spans="1:8" x14ac:dyDescent="0.25">
      <c r="A230" s="38">
        <f>+IF(B230="","",SUBTOTAL(3,$B$7:B230))</f>
        <v>224</v>
      </c>
      <c r="B230" s="40" t="s">
        <v>451</v>
      </c>
      <c r="C230" s="41">
        <v>45770</v>
      </c>
      <c r="D230" s="40" t="s">
        <v>776</v>
      </c>
      <c r="E230" s="38" t="s">
        <v>101</v>
      </c>
      <c r="F230" s="51">
        <v>50</v>
      </c>
      <c r="G230" s="51">
        <v>1100</v>
      </c>
      <c r="H230" s="51">
        <f t="shared" si="3"/>
        <v>55000</v>
      </c>
    </row>
    <row r="231" spans="1:8" x14ac:dyDescent="0.25">
      <c r="A231" s="38">
        <f>+IF(B231="","",SUBTOTAL(3,$B$7:B231))</f>
        <v>225</v>
      </c>
      <c r="B231" s="40" t="s">
        <v>451</v>
      </c>
      <c r="C231" s="41">
        <v>45770</v>
      </c>
      <c r="D231" s="40" t="s">
        <v>777</v>
      </c>
      <c r="E231" s="38" t="s">
        <v>101</v>
      </c>
      <c r="F231" s="51">
        <v>50</v>
      </c>
      <c r="G231" s="51">
        <v>2500</v>
      </c>
      <c r="H231" s="51">
        <f t="shared" si="3"/>
        <v>125000</v>
      </c>
    </row>
    <row r="232" spans="1:8" x14ac:dyDescent="0.25">
      <c r="A232" s="38">
        <f>+IF(B232="","",SUBTOTAL(3,$B$7:B232))</f>
        <v>226</v>
      </c>
      <c r="B232" s="40" t="s">
        <v>451</v>
      </c>
      <c r="C232" s="41">
        <v>45770</v>
      </c>
      <c r="D232" s="40" t="s">
        <v>747</v>
      </c>
      <c r="E232" s="38" t="s">
        <v>101</v>
      </c>
      <c r="F232" s="51">
        <v>100</v>
      </c>
      <c r="G232" s="51">
        <v>7400</v>
      </c>
      <c r="H232" s="51">
        <f t="shared" si="3"/>
        <v>740000</v>
      </c>
    </row>
    <row r="233" spans="1:8" x14ac:dyDescent="0.25">
      <c r="A233" s="38">
        <f>+IF(B233="","",SUBTOTAL(3,$B$7:B233))</f>
        <v>227</v>
      </c>
      <c r="B233" s="40" t="s">
        <v>451</v>
      </c>
      <c r="C233" s="41">
        <v>45770</v>
      </c>
      <c r="D233" s="40" t="s">
        <v>772</v>
      </c>
      <c r="E233" s="38" t="s">
        <v>101</v>
      </c>
      <c r="F233" s="51">
        <v>300</v>
      </c>
      <c r="G233" s="51">
        <v>1904</v>
      </c>
      <c r="H233" s="51">
        <f t="shared" si="3"/>
        <v>571200</v>
      </c>
    </row>
    <row r="234" spans="1:8" ht="45" x14ac:dyDescent="0.25">
      <c r="A234" s="38">
        <f>+IF(B234="","",SUBTOTAL(3,$B$7:B234))</f>
        <v>228</v>
      </c>
      <c r="B234" s="40" t="s">
        <v>457</v>
      </c>
      <c r="C234" s="41">
        <v>45770</v>
      </c>
      <c r="D234" s="40" t="s">
        <v>778</v>
      </c>
      <c r="E234" s="38" t="s">
        <v>101</v>
      </c>
      <c r="F234" s="51">
        <v>25</v>
      </c>
      <c r="G234" s="51">
        <v>1305</v>
      </c>
      <c r="H234" s="51">
        <f t="shared" si="3"/>
        <v>32625</v>
      </c>
    </row>
    <row r="235" spans="1:8" ht="45" x14ac:dyDescent="0.25">
      <c r="A235" s="38">
        <f>+IF(B235="","",SUBTOTAL(3,$B$7:B235))</f>
        <v>229</v>
      </c>
      <c r="B235" s="40" t="s">
        <v>457</v>
      </c>
      <c r="C235" s="41">
        <v>45770</v>
      </c>
      <c r="D235" s="40" t="s">
        <v>779</v>
      </c>
      <c r="E235" s="38" t="s">
        <v>753</v>
      </c>
      <c r="F235" s="51">
        <v>1</v>
      </c>
      <c r="G235" s="51">
        <v>10750</v>
      </c>
      <c r="H235" s="51">
        <f t="shared" si="3"/>
        <v>10750</v>
      </c>
    </row>
    <row r="236" spans="1:8" ht="45" x14ac:dyDescent="0.25">
      <c r="A236" s="38">
        <f>+IF(B236="","",SUBTOTAL(3,$B$7:B236))</f>
        <v>230</v>
      </c>
      <c r="B236" s="40" t="s">
        <v>457</v>
      </c>
      <c r="C236" s="41">
        <v>45770</v>
      </c>
      <c r="D236" s="40" t="s">
        <v>780</v>
      </c>
      <c r="E236" s="38" t="s">
        <v>101</v>
      </c>
      <c r="F236" s="51">
        <v>5</v>
      </c>
      <c r="G236" s="51">
        <v>3195</v>
      </c>
      <c r="H236" s="51">
        <f t="shared" si="3"/>
        <v>15975</v>
      </c>
    </row>
    <row r="237" spans="1:8" ht="45" x14ac:dyDescent="0.25">
      <c r="A237" s="38">
        <f>+IF(B237="","",SUBTOTAL(3,$B$7:B237))</f>
        <v>231</v>
      </c>
      <c r="B237" s="40" t="s">
        <v>457</v>
      </c>
      <c r="C237" s="41">
        <v>45770</v>
      </c>
      <c r="D237" s="40" t="s">
        <v>781</v>
      </c>
      <c r="E237" s="38" t="s">
        <v>782</v>
      </c>
      <c r="F237" s="51">
        <v>120</v>
      </c>
      <c r="G237" s="51">
        <v>4055</v>
      </c>
      <c r="H237" s="51">
        <f t="shared" si="3"/>
        <v>486600</v>
      </c>
    </row>
    <row r="238" spans="1:8" ht="45" x14ac:dyDescent="0.25">
      <c r="A238" s="38">
        <f>+IF(B238="","",SUBTOTAL(3,$B$7:B238))</f>
        <v>232</v>
      </c>
      <c r="B238" s="40" t="s">
        <v>457</v>
      </c>
      <c r="C238" s="41">
        <v>45770</v>
      </c>
      <c r="D238" s="40" t="s">
        <v>783</v>
      </c>
      <c r="E238" s="38" t="s">
        <v>101</v>
      </c>
      <c r="F238" s="51">
        <v>5</v>
      </c>
      <c r="G238" s="51">
        <v>2420</v>
      </c>
      <c r="H238" s="51">
        <f t="shared" si="3"/>
        <v>12100</v>
      </c>
    </row>
    <row r="239" spans="1:8" ht="45" x14ac:dyDescent="0.25">
      <c r="A239" s="38">
        <f>+IF(B239="","",SUBTOTAL(3,$B$7:B239))</f>
        <v>233</v>
      </c>
      <c r="B239" s="40" t="s">
        <v>457</v>
      </c>
      <c r="C239" s="41">
        <v>45770</v>
      </c>
      <c r="D239" s="40" t="s">
        <v>784</v>
      </c>
      <c r="E239" s="38" t="s">
        <v>101</v>
      </c>
      <c r="F239" s="51">
        <v>1</v>
      </c>
      <c r="G239" s="51">
        <v>3798</v>
      </c>
      <c r="H239" s="51">
        <f t="shared" si="3"/>
        <v>3798</v>
      </c>
    </row>
    <row r="240" spans="1:8" ht="45" x14ac:dyDescent="0.25">
      <c r="A240" s="38">
        <f>+IF(B240="","",SUBTOTAL(3,$B$7:B240))</f>
        <v>234</v>
      </c>
      <c r="B240" s="40" t="s">
        <v>457</v>
      </c>
      <c r="C240" s="41">
        <v>45770</v>
      </c>
      <c r="D240" s="40" t="s">
        <v>785</v>
      </c>
      <c r="E240" s="38" t="s">
        <v>101</v>
      </c>
      <c r="F240" s="51">
        <v>1</v>
      </c>
      <c r="G240" s="51">
        <v>7570</v>
      </c>
      <c r="H240" s="51">
        <f t="shared" si="3"/>
        <v>7570</v>
      </c>
    </row>
    <row r="241" spans="1:8" ht="45" x14ac:dyDescent="0.25">
      <c r="A241" s="38">
        <f>+IF(B241="","",SUBTOTAL(3,$B$7:B241))</f>
        <v>235</v>
      </c>
      <c r="B241" s="40" t="s">
        <v>457</v>
      </c>
      <c r="C241" s="41">
        <v>45770</v>
      </c>
      <c r="D241" s="40" t="s">
        <v>786</v>
      </c>
      <c r="E241" s="38" t="s">
        <v>782</v>
      </c>
      <c r="F241" s="51">
        <v>5</v>
      </c>
      <c r="G241" s="51">
        <v>5155</v>
      </c>
      <c r="H241" s="51">
        <f t="shared" si="3"/>
        <v>25775</v>
      </c>
    </row>
    <row r="242" spans="1:8" ht="45" x14ac:dyDescent="0.25">
      <c r="A242" s="38">
        <f>+IF(B242="","",SUBTOTAL(3,$B$7:B242))</f>
        <v>236</v>
      </c>
      <c r="B242" s="40" t="s">
        <v>457</v>
      </c>
      <c r="C242" s="41">
        <v>45770</v>
      </c>
      <c r="D242" s="40" t="s">
        <v>787</v>
      </c>
      <c r="E242" s="38" t="s">
        <v>101</v>
      </c>
      <c r="F242" s="51">
        <v>1</v>
      </c>
      <c r="G242" s="51">
        <v>4541</v>
      </c>
      <c r="H242" s="51">
        <f t="shared" si="3"/>
        <v>4541</v>
      </c>
    </row>
    <row r="243" spans="1:8" ht="45" x14ac:dyDescent="0.25">
      <c r="A243" s="38">
        <f>+IF(B243="","",SUBTOTAL(3,$B$7:B243))</f>
        <v>237</v>
      </c>
      <c r="B243" s="40" t="s">
        <v>457</v>
      </c>
      <c r="C243" s="41">
        <v>45770</v>
      </c>
      <c r="D243" s="40" t="s">
        <v>788</v>
      </c>
      <c r="E243" s="38" t="s">
        <v>782</v>
      </c>
      <c r="F243" s="51">
        <v>10</v>
      </c>
      <c r="G243" s="51">
        <v>6080</v>
      </c>
      <c r="H243" s="51">
        <f t="shared" si="3"/>
        <v>60800</v>
      </c>
    </row>
    <row r="244" spans="1:8" ht="45" x14ac:dyDescent="0.25">
      <c r="A244" s="38">
        <f>+IF(B244="","",SUBTOTAL(3,$B$7:B244))</f>
        <v>238</v>
      </c>
      <c r="B244" s="40" t="s">
        <v>457</v>
      </c>
      <c r="C244" s="41">
        <v>45770</v>
      </c>
      <c r="D244" s="40" t="s">
        <v>789</v>
      </c>
      <c r="E244" s="38" t="s">
        <v>101</v>
      </c>
      <c r="F244" s="51">
        <v>120</v>
      </c>
      <c r="G244" s="51">
        <v>2090</v>
      </c>
      <c r="H244" s="51">
        <f t="shared" si="3"/>
        <v>250800</v>
      </c>
    </row>
    <row r="245" spans="1:8" ht="45" x14ac:dyDescent="0.25">
      <c r="A245" s="38">
        <f>+IF(B245="","",SUBTOTAL(3,$B$7:B245))</f>
        <v>239</v>
      </c>
      <c r="B245" s="40" t="s">
        <v>457</v>
      </c>
      <c r="C245" s="41">
        <v>45770</v>
      </c>
      <c r="D245" s="40" t="s">
        <v>790</v>
      </c>
      <c r="E245" s="38" t="s">
        <v>101</v>
      </c>
      <c r="F245" s="51">
        <v>2</v>
      </c>
      <c r="G245" s="51">
        <v>17400</v>
      </c>
      <c r="H245" s="51">
        <f t="shared" si="3"/>
        <v>34800</v>
      </c>
    </row>
    <row r="246" spans="1:8" ht="45" x14ac:dyDescent="0.25">
      <c r="A246" s="38">
        <f>+IF(B246="","",SUBTOTAL(3,$B$7:B246))</f>
        <v>240</v>
      </c>
      <c r="B246" s="40" t="s">
        <v>457</v>
      </c>
      <c r="C246" s="41">
        <v>45770</v>
      </c>
      <c r="D246" s="40" t="s">
        <v>864</v>
      </c>
      <c r="E246" s="38" t="s">
        <v>101</v>
      </c>
      <c r="F246" s="51">
        <v>3</v>
      </c>
      <c r="G246" s="51">
        <v>13200</v>
      </c>
      <c r="H246" s="51">
        <f t="shared" si="3"/>
        <v>39600</v>
      </c>
    </row>
    <row r="247" spans="1:8" ht="45" x14ac:dyDescent="0.25">
      <c r="A247" s="38">
        <f>+IF(B247="","",SUBTOTAL(3,$B$7:B247))</f>
        <v>241</v>
      </c>
      <c r="B247" s="40" t="s">
        <v>457</v>
      </c>
      <c r="C247" s="41">
        <v>45770</v>
      </c>
      <c r="D247" s="40" t="s">
        <v>865</v>
      </c>
      <c r="E247" s="38" t="s">
        <v>101</v>
      </c>
      <c r="F247" s="51">
        <v>1</v>
      </c>
      <c r="G247" s="51">
        <v>53341</v>
      </c>
      <c r="H247" s="51">
        <f t="shared" si="3"/>
        <v>53341</v>
      </c>
    </row>
    <row r="248" spans="1:8" ht="45" x14ac:dyDescent="0.25">
      <c r="A248" s="38">
        <f>+IF(B248="","",SUBTOTAL(3,$B$7:B248))</f>
        <v>242</v>
      </c>
      <c r="B248" s="40" t="s">
        <v>457</v>
      </c>
      <c r="C248" s="41">
        <v>45770</v>
      </c>
      <c r="D248" s="40" t="s">
        <v>791</v>
      </c>
      <c r="E248" s="38" t="s">
        <v>101</v>
      </c>
      <c r="F248" s="51">
        <v>2</v>
      </c>
      <c r="G248" s="51">
        <v>82465</v>
      </c>
      <c r="H248" s="51">
        <f t="shared" si="3"/>
        <v>164930</v>
      </c>
    </row>
    <row r="249" spans="1:8" ht="45" x14ac:dyDescent="0.25">
      <c r="A249" s="38">
        <f>+IF(B249="","",SUBTOTAL(3,$B$7:B249))</f>
        <v>243</v>
      </c>
      <c r="B249" s="40" t="s">
        <v>457</v>
      </c>
      <c r="C249" s="41">
        <v>45770</v>
      </c>
      <c r="D249" s="40" t="s">
        <v>792</v>
      </c>
      <c r="E249" s="38" t="s">
        <v>782</v>
      </c>
      <c r="F249" s="51">
        <v>5</v>
      </c>
      <c r="G249" s="51">
        <v>1480</v>
      </c>
      <c r="H249" s="51">
        <f t="shared" si="3"/>
        <v>7400</v>
      </c>
    </row>
    <row r="250" spans="1:8" ht="45" x14ac:dyDescent="0.25">
      <c r="A250" s="38">
        <f>+IF(B250="","",SUBTOTAL(3,$B$7:B250))</f>
        <v>244</v>
      </c>
      <c r="B250" s="40" t="s">
        <v>457</v>
      </c>
      <c r="C250" s="41">
        <v>45770</v>
      </c>
      <c r="D250" s="40" t="s">
        <v>793</v>
      </c>
      <c r="E250" s="38" t="s">
        <v>782</v>
      </c>
      <c r="F250" s="51">
        <v>2</v>
      </c>
      <c r="G250" s="51">
        <v>41989</v>
      </c>
      <c r="H250" s="51">
        <f t="shared" si="3"/>
        <v>83978</v>
      </c>
    </row>
    <row r="251" spans="1:8" ht="45" x14ac:dyDescent="0.25">
      <c r="A251" s="38">
        <f>+IF(B251="","",SUBTOTAL(3,$B$7:B251))</f>
        <v>245</v>
      </c>
      <c r="B251" s="40" t="s">
        <v>457</v>
      </c>
      <c r="C251" s="41">
        <v>45770</v>
      </c>
      <c r="D251" s="40" t="s">
        <v>794</v>
      </c>
      <c r="E251" s="38" t="s">
        <v>101</v>
      </c>
      <c r="F251" s="51">
        <v>1</v>
      </c>
      <c r="G251" s="51">
        <v>141120</v>
      </c>
      <c r="H251" s="51">
        <f t="shared" si="3"/>
        <v>141120</v>
      </c>
    </row>
    <row r="252" spans="1:8" ht="45" x14ac:dyDescent="0.25">
      <c r="A252" s="38">
        <f>+IF(B252="","",SUBTOTAL(3,$B$7:B252))</f>
        <v>246</v>
      </c>
      <c r="B252" s="40" t="s">
        <v>457</v>
      </c>
      <c r="C252" s="41">
        <v>45770</v>
      </c>
      <c r="D252" s="40" t="s">
        <v>795</v>
      </c>
      <c r="E252" s="38" t="s">
        <v>101</v>
      </c>
      <c r="F252" s="51">
        <v>5</v>
      </c>
      <c r="G252" s="51">
        <v>21953</v>
      </c>
      <c r="H252" s="51">
        <f t="shared" si="3"/>
        <v>109765</v>
      </c>
    </row>
    <row r="253" spans="1:8" x14ac:dyDescent="0.25">
      <c r="A253" s="38">
        <f>+IF(B253="","",SUBTOTAL(3,$B$7:B253))</f>
        <v>247</v>
      </c>
      <c r="B253" s="40" t="s">
        <v>705</v>
      </c>
      <c r="C253" s="41">
        <v>45771</v>
      </c>
      <c r="D253" s="40" t="s">
        <v>228</v>
      </c>
      <c r="E253" s="38" t="s">
        <v>741</v>
      </c>
      <c r="F253" s="51">
        <v>4</v>
      </c>
      <c r="G253" s="51">
        <v>57222</v>
      </c>
      <c r="H253" s="51">
        <f t="shared" si="3"/>
        <v>228888</v>
      </c>
    </row>
    <row r="254" spans="1:8" x14ac:dyDescent="0.25">
      <c r="A254" s="38">
        <f>+IF(B254="","",SUBTOTAL(3,$B$7:B254))</f>
        <v>248</v>
      </c>
      <c r="B254" s="40" t="s">
        <v>705</v>
      </c>
      <c r="C254" s="41">
        <v>45771</v>
      </c>
      <c r="D254" s="40" t="s">
        <v>118</v>
      </c>
      <c r="E254" s="38" t="s">
        <v>101</v>
      </c>
      <c r="F254" s="51">
        <v>16</v>
      </c>
      <c r="G254" s="51">
        <v>54890</v>
      </c>
      <c r="H254" s="51">
        <f t="shared" si="3"/>
        <v>878240</v>
      </c>
    </row>
    <row r="255" spans="1:8" ht="30" x14ac:dyDescent="0.25">
      <c r="A255" s="38">
        <f>+IF(B255="","",SUBTOTAL(3,$B$7:B255))</f>
        <v>249</v>
      </c>
      <c r="B255" s="40" t="s">
        <v>449</v>
      </c>
      <c r="C255" s="41">
        <v>45775</v>
      </c>
      <c r="D255" s="40" t="s">
        <v>796</v>
      </c>
      <c r="E255" s="38" t="s">
        <v>797</v>
      </c>
      <c r="F255" s="51">
        <v>1</v>
      </c>
      <c r="G255" s="51">
        <v>4090000</v>
      </c>
      <c r="H255" s="51">
        <f t="shared" si="3"/>
        <v>4090000</v>
      </c>
    </row>
    <row r="256" spans="1:8" ht="30" x14ac:dyDescent="0.25">
      <c r="A256" s="38">
        <f>+IF(B256="","",SUBTOTAL(3,$B$7:B256))</f>
        <v>250</v>
      </c>
      <c r="B256" s="40" t="s">
        <v>442</v>
      </c>
      <c r="C256" s="41">
        <v>45776</v>
      </c>
      <c r="D256" s="40" t="s">
        <v>735</v>
      </c>
      <c r="E256" s="38" t="s">
        <v>101</v>
      </c>
      <c r="F256" s="51">
        <v>1</v>
      </c>
      <c r="G256" s="51">
        <v>280720</v>
      </c>
      <c r="H256" s="51">
        <f t="shared" si="3"/>
        <v>280720</v>
      </c>
    </row>
    <row r="257" spans="1:8" ht="30" x14ac:dyDescent="0.25">
      <c r="A257" s="38">
        <f>+IF(B257="","",SUBTOTAL(3,$B$7:B257))</f>
        <v>251</v>
      </c>
      <c r="B257" s="40" t="s">
        <v>442</v>
      </c>
      <c r="C257" s="41">
        <v>45776</v>
      </c>
      <c r="D257" s="40" t="s">
        <v>863</v>
      </c>
      <c r="E257" s="38" t="s">
        <v>753</v>
      </c>
      <c r="F257" s="51">
        <v>2</v>
      </c>
      <c r="G257" s="51">
        <v>7896</v>
      </c>
      <c r="H257" s="51">
        <f t="shared" si="3"/>
        <v>15792</v>
      </c>
    </row>
    <row r="258" spans="1:8" x14ac:dyDescent="0.25">
      <c r="A258" s="38">
        <f>+IF(B258="","",SUBTOTAL(3,$B$7:B258))</f>
        <v>252</v>
      </c>
      <c r="B258" s="40" t="s">
        <v>442</v>
      </c>
      <c r="C258" s="41">
        <v>45776</v>
      </c>
      <c r="D258" s="40" t="s">
        <v>699</v>
      </c>
      <c r="E258" s="38" t="s">
        <v>101</v>
      </c>
      <c r="F258" s="51">
        <v>6</v>
      </c>
      <c r="G258" s="51">
        <v>1111.1099999999999</v>
      </c>
      <c r="H258" s="51">
        <f t="shared" si="3"/>
        <v>6666.66</v>
      </c>
    </row>
    <row r="259" spans="1:8" x14ac:dyDescent="0.25">
      <c r="A259" s="38">
        <f>+IF(B259="","",SUBTOTAL(3,$B$7:B259))</f>
        <v>253</v>
      </c>
      <c r="B259" s="40" t="s">
        <v>442</v>
      </c>
      <c r="C259" s="41">
        <v>45776</v>
      </c>
      <c r="D259" s="40" t="s">
        <v>711</v>
      </c>
      <c r="E259" s="38" t="s">
        <v>101</v>
      </c>
      <c r="F259" s="51">
        <v>4</v>
      </c>
      <c r="G259" s="51">
        <v>13668</v>
      </c>
      <c r="H259" s="51">
        <f t="shared" si="3"/>
        <v>54672</v>
      </c>
    </row>
    <row r="260" spans="1:8" x14ac:dyDescent="0.25">
      <c r="A260" s="38">
        <f>+IF(B260="","",SUBTOTAL(3,$B$7:B260))</f>
        <v>254</v>
      </c>
      <c r="B260" s="40" t="s">
        <v>442</v>
      </c>
      <c r="C260" s="41">
        <v>45776</v>
      </c>
      <c r="D260" s="40" t="s">
        <v>716</v>
      </c>
      <c r="E260" s="38" t="s">
        <v>101</v>
      </c>
      <c r="F260" s="51">
        <v>4</v>
      </c>
      <c r="G260" s="51">
        <v>4400</v>
      </c>
      <c r="H260" s="51">
        <f t="shared" si="3"/>
        <v>17600</v>
      </c>
    </row>
    <row r="261" spans="1:8" x14ac:dyDescent="0.25">
      <c r="A261" s="38">
        <f>+IF(B261="","",SUBTOTAL(3,$B$7:B261))</f>
        <v>255</v>
      </c>
      <c r="B261" s="40" t="s">
        <v>442</v>
      </c>
      <c r="C261" s="41">
        <v>45776</v>
      </c>
      <c r="D261" s="40" t="s">
        <v>712</v>
      </c>
      <c r="E261" s="38" t="s">
        <v>101</v>
      </c>
      <c r="F261" s="51">
        <v>5</v>
      </c>
      <c r="G261" s="51">
        <v>8800</v>
      </c>
      <c r="H261" s="51">
        <f t="shared" si="3"/>
        <v>44000</v>
      </c>
    </row>
    <row r="262" spans="1:8" x14ac:dyDescent="0.25">
      <c r="A262" s="38">
        <f>+IF(B262="","",SUBTOTAL(3,$B$7:B262))</f>
        <v>256</v>
      </c>
      <c r="B262" s="40" t="s">
        <v>442</v>
      </c>
      <c r="C262" s="41">
        <v>45776</v>
      </c>
      <c r="D262" s="40" t="s">
        <v>729</v>
      </c>
      <c r="E262" s="38" t="s">
        <v>101</v>
      </c>
      <c r="F262" s="51">
        <v>1</v>
      </c>
      <c r="G262" s="51">
        <v>55000</v>
      </c>
      <c r="H262" s="51">
        <f t="shared" si="3"/>
        <v>55000</v>
      </c>
    </row>
    <row r="263" spans="1:8" ht="30" x14ac:dyDescent="0.25">
      <c r="A263" s="38">
        <f>+IF(B263="","",SUBTOTAL(3,$B$7:B263))</f>
        <v>257</v>
      </c>
      <c r="B263" s="40" t="s">
        <v>442</v>
      </c>
      <c r="C263" s="41">
        <v>45776</v>
      </c>
      <c r="D263" s="40" t="s">
        <v>727</v>
      </c>
      <c r="E263" s="38" t="s">
        <v>101</v>
      </c>
      <c r="F263" s="51">
        <v>8</v>
      </c>
      <c r="G263" s="51">
        <v>4800</v>
      </c>
      <c r="H263" s="51">
        <f t="shared" si="3"/>
        <v>38400</v>
      </c>
    </row>
    <row r="264" spans="1:8" x14ac:dyDescent="0.25">
      <c r="A264" s="38">
        <f>+IF(B264="","",SUBTOTAL(3,$B$7:B264))</f>
        <v>258</v>
      </c>
      <c r="B264" s="40" t="s">
        <v>442</v>
      </c>
      <c r="C264" s="41">
        <v>45776</v>
      </c>
      <c r="D264" s="40" t="s">
        <v>730</v>
      </c>
      <c r="E264" s="38" t="s">
        <v>101</v>
      </c>
      <c r="F264" s="51">
        <v>2</v>
      </c>
      <c r="G264" s="51">
        <v>23000</v>
      </c>
      <c r="H264" s="51">
        <f t="shared" si="3"/>
        <v>46000</v>
      </c>
    </row>
    <row r="265" spans="1:8" x14ac:dyDescent="0.25">
      <c r="A265" s="38">
        <f>+IF(B265="","",SUBTOTAL(3,$B$7:B265))</f>
        <v>259</v>
      </c>
      <c r="B265" s="40" t="s">
        <v>442</v>
      </c>
      <c r="C265" s="41">
        <v>45776</v>
      </c>
      <c r="D265" s="40" t="s">
        <v>732</v>
      </c>
      <c r="E265" s="38" t="s">
        <v>132</v>
      </c>
      <c r="F265" s="51">
        <v>4</v>
      </c>
      <c r="G265" s="51">
        <v>5454</v>
      </c>
      <c r="H265" s="51">
        <f t="shared" si="3"/>
        <v>21816</v>
      </c>
    </row>
    <row r="266" spans="1:8" ht="30" x14ac:dyDescent="0.25">
      <c r="A266" s="38">
        <f>+IF(B266="","",SUBTOTAL(3,$B$7:B266))</f>
        <v>260</v>
      </c>
      <c r="B266" s="40" t="s">
        <v>442</v>
      </c>
      <c r="C266" s="41">
        <v>45776</v>
      </c>
      <c r="D266" s="40" t="s">
        <v>734</v>
      </c>
      <c r="E266" s="38" t="s">
        <v>707</v>
      </c>
      <c r="F266" s="51">
        <v>8</v>
      </c>
      <c r="G266" s="51">
        <v>5941</v>
      </c>
      <c r="H266" s="51">
        <f t="shared" si="3"/>
        <v>47528</v>
      </c>
    </row>
    <row r="267" spans="1:8" ht="30" x14ac:dyDescent="0.25">
      <c r="A267" s="38">
        <f>+IF(B267="","",SUBTOTAL(3,$B$7:B267))</f>
        <v>261</v>
      </c>
      <c r="B267" s="40" t="s">
        <v>442</v>
      </c>
      <c r="C267" s="41">
        <v>45776</v>
      </c>
      <c r="D267" s="40" t="s">
        <v>733</v>
      </c>
      <c r="E267" s="38" t="s">
        <v>101</v>
      </c>
      <c r="F267" s="51">
        <v>8</v>
      </c>
      <c r="G267" s="51">
        <v>6250</v>
      </c>
      <c r="H267" s="51">
        <f t="shared" si="3"/>
        <v>50000</v>
      </c>
    </row>
    <row r="268" spans="1:8" x14ac:dyDescent="0.25">
      <c r="A268" s="38">
        <f>+IF(B268="","",SUBTOTAL(3,$B$7:B268))</f>
        <v>262</v>
      </c>
      <c r="B268" s="40" t="s">
        <v>442</v>
      </c>
      <c r="C268" s="41">
        <v>45776</v>
      </c>
      <c r="D268" s="40" t="s">
        <v>731</v>
      </c>
      <c r="E268" s="38" t="s">
        <v>101</v>
      </c>
      <c r="F268" s="51">
        <v>4</v>
      </c>
      <c r="G268" s="51">
        <v>5500</v>
      </c>
      <c r="H268" s="51">
        <f t="shared" si="3"/>
        <v>22000</v>
      </c>
    </row>
    <row r="269" spans="1:8" ht="30" x14ac:dyDescent="0.25">
      <c r="A269" s="38">
        <f>+IF(B269="","",SUBTOTAL(3,$B$7:B269))</f>
        <v>263</v>
      </c>
      <c r="B269" s="40" t="s">
        <v>462</v>
      </c>
      <c r="C269" s="41">
        <v>45783</v>
      </c>
      <c r="D269" s="40" t="s">
        <v>188</v>
      </c>
      <c r="E269" s="38" t="s">
        <v>101</v>
      </c>
      <c r="F269" s="51">
        <v>2</v>
      </c>
      <c r="G269" s="51">
        <v>36000</v>
      </c>
      <c r="H269" s="51">
        <f t="shared" si="3"/>
        <v>72000</v>
      </c>
    </row>
    <row r="270" spans="1:8" ht="30" x14ac:dyDescent="0.25">
      <c r="A270" s="38">
        <f>+IF(B270="","",SUBTOTAL(3,$B$7:B270))</f>
        <v>264</v>
      </c>
      <c r="B270" s="40" t="s">
        <v>462</v>
      </c>
      <c r="C270" s="41">
        <v>45783</v>
      </c>
      <c r="D270" s="40" t="s">
        <v>208</v>
      </c>
      <c r="E270" s="38" t="s">
        <v>101</v>
      </c>
      <c r="F270" s="51">
        <v>4</v>
      </c>
      <c r="G270" s="51">
        <v>3333.33</v>
      </c>
      <c r="H270" s="51">
        <f t="shared" si="3"/>
        <v>13333.32</v>
      </c>
    </row>
    <row r="271" spans="1:8" x14ac:dyDescent="0.25">
      <c r="A271" s="38">
        <f>+IF(B271="","",SUBTOTAL(3,$B$7:B271))</f>
        <v>265</v>
      </c>
      <c r="B271" s="40" t="s">
        <v>705</v>
      </c>
      <c r="C271" s="41">
        <v>45783</v>
      </c>
      <c r="D271" s="40" t="s">
        <v>724</v>
      </c>
      <c r="E271" s="38" t="s">
        <v>101</v>
      </c>
      <c r="F271" s="51">
        <v>10200</v>
      </c>
      <c r="G271" s="51">
        <v>34.950000000000003</v>
      </c>
      <c r="H271" s="51">
        <f t="shared" si="3"/>
        <v>356490</v>
      </c>
    </row>
    <row r="272" spans="1:8" x14ac:dyDescent="0.25">
      <c r="A272" s="38">
        <f>+IF(B272="","",SUBTOTAL(3,$B$7:B272))</f>
        <v>266</v>
      </c>
      <c r="B272" s="40" t="s">
        <v>705</v>
      </c>
      <c r="C272" s="41">
        <v>45783</v>
      </c>
      <c r="D272" s="40" t="s">
        <v>758</v>
      </c>
      <c r="E272" s="38" t="s">
        <v>101</v>
      </c>
      <c r="F272" s="51">
        <v>5100</v>
      </c>
      <c r="G272" s="51">
        <v>34.950000000000003</v>
      </c>
      <c r="H272" s="51">
        <f t="shared" si="3"/>
        <v>178245</v>
      </c>
    </row>
    <row r="273" spans="1:8" x14ac:dyDescent="0.25">
      <c r="A273" s="38">
        <f>+IF(B273="","",SUBTOTAL(3,$B$7:B273))</f>
        <v>267</v>
      </c>
      <c r="B273" s="40" t="s">
        <v>705</v>
      </c>
      <c r="C273" s="41">
        <v>45783</v>
      </c>
      <c r="D273" s="40" t="s">
        <v>798</v>
      </c>
      <c r="E273" s="38" t="s">
        <v>101</v>
      </c>
      <c r="F273" s="51">
        <v>3200</v>
      </c>
      <c r="G273" s="51">
        <v>34.950000000000003</v>
      </c>
      <c r="H273" s="51">
        <f t="shared" si="3"/>
        <v>111840.00000000001</v>
      </c>
    </row>
    <row r="274" spans="1:8" x14ac:dyDescent="0.25">
      <c r="A274" s="38">
        <f>+IF(B274="","",SUBTOTAL(3,$B$7:B274))</f>
        <v>268</v>
      </c>
      <c r="B274" s="40" t="s">
        <v>705</v>
      </c>
      <c r="C274" s="41">
        <v>45783</v>
      </c>
      <c r="D274" s="40" t="s">
        <v>100</v>
      </c>
      <c r="E274" s="38" t="s">
        <v>101</v>
      </c>
      <c r="F274" s="51">
        <v>10000</v>
      </c>
      <c r="G274" s="51">
        <v>140</v>
      </c>
      <c r="H274" s="51">
        <f t="shared" si="3"/>
        <v>1400000</v>
      </c>
    </row>
    <row r="275" spans="1:8" ht="30" x14ac:dyDescent="0.25">
      <c r="A275" s="38">
        <f>+IF(B275="","",SUBTOTAL(3,$B$7:B275))</f>
        <v>269</v>
      </c>
      <c r="B275" s="40" t="s">
        <v>705</v>
      </c>
      <c r="C275" s="41">
        <v>45783</v>
      </c>
      <c r="D275" s="40" t="s">
        <v>727</v>
      </c>
      <c r="E275" s="38" t="s">
        <v>101</v>
      </c>
      <c r="F275" s="51">
        <v>4</v>
      </c>
      <c r="G275" s="51">
        <v>4800</v>
      </c>
      <c r="H275" s="51">
        <f t="shared" si="3"/>
        <v>19200</v>
      </c>
    </row>
    <row r="276" spans="1:8" x14ac:dyDescent="0.25">
      <c r="A276" s="38">
        <f>+IF(B276="","",SUBTOTAL(3,$B$7:B276))</f>
        <v>270</v>
      </c>
      <c r="B276" s="40" t="s">
        <v>705</v>
      </c>
      <c r="C276" s="41">
        <v>45783</v>
      </c>
      <c r="D276" s="40" t="s">
        <v>700</v>
      </c>
      <c r="E276" s="38" t="s">
        <v>101</v>
      </c>
      <c r="F276" s="51">
        <v>25</v>
      </c>
      <c r="G276" s="51">
        <v>1090</v>
      </c>
      <c r="H276" s="51">
        <f t="shared" si="3"/>
        <v>27250</v>
      </c>
    </row>
    <row r="277" spans="1:8" x14ac:dyDescent="0.25">
      <c r="A277" s="38">
        <f>+IF(B277="","",SUBTOTAL(3,$B$7:B277))</f>
        <v>271</v>
      </c>
      <c r="B277" s="40" t="s">
        <v>705</v>
      </c>
      <c r="C277" s="41">
        <v>45783</v>
      </c>
      <c r="D277" s="40" t="s">
        <v>699</v>
      </c>
      <c r="E277" s="38" t="s">
        <v>101</v>
      </c>
      <c r="F277" s="51">
        <v>30</v>
      </c>
      <c r="G277" s="51">
        <v>1111.1099999999999</v>
      </c>
      <c r="H277" s="51">
        <f t="shared" si="3"/>
        <v>33333.299999999996</v>
      </c>
    </row>
    <row r="278" spans="1:8" ht="60" x14ac:dyDescent="0.25">
      <c r="A278" s="38">
        <f>+IF(B278="","",SUBTOTAL(3,$B$7:B278))</f>
        <v>272</v>
      </c>
      <c r="B278" s="40" t="s">
        <v>799</v>
      </c>
      <c r="C278" s="41">
        <v>45790</v>
      </c>
      <c r="D278" s="40" t="s">
        <v>188</v>
      </c>
      <c r="E278" s="38" t="s">
        <v>101</v>
      </c>
      <c r="F278" s="51">
        <v>1</v>
      </c>
      <c r="G278" s="51">
        <v>36000</v>
      </c>
      <c r="H278" s="51">
        <f t="shared" si="3"/>
        <v>36000</v>
      </c>
    </row>
    <row r="279" spans="1:8" ht="60" x14ac:dyDescent="0.25">
      <c r="A279" s="38">
        <f>+IF(B279="","",SUBTOTAL(3,$B$7:B279))</f>
        <v>273</v>
      </c>
      <c r="B279" s="40" t="s">
        <v>799</v>
      </c>
      <c r="C279" s="41">
        <v>45790</v>
      </c>
      <c r="D279" s="40" t="s">
        <v>700</v>
      </c>
      <c r="E279" s="38" t="s">
        <v>101</v>
      </c>
      <c r="F279" s="51">
        <v>20</v>
      </c>
      <c r="G279" s="51">
        <v>1090</v>
      </c>
      <c r="H279" s="51">
        <f t="shared" si="3"/>
        <v>21800</v>
      </c>
    </row>
    <row r="280" spans="1:8" ht="60" x14ac:dyDescent="0.25">
      <c r="A280" s="38">
        <f>+IF(B280="","",SUBTOTAL(3,$B$7:B280))</f>
        <v>274</v>
      </c>
      <c r="B280" s="40" t="s">
        <v>799</v>
      </c>
      <c r="C280" s="41">
        <v>45790</v>
      </c>
      <c r="D280" s="40" t="s">
        <v>769</v>
      </c>
      <c r="E280" s="38" t="s">
        <v>140</v>
      </c>
      <c r="F280" s="51">
        <v>1</v>
      </c>
      <c r="G280" s="51">
        <v>3800</v>
      </c>
      <c r="H280" s="51">
        <f t="shared" si="3"/>
        <v>3800</v>
      </c>
    </row>
    <row r="281" spans="1:8" ht="60" x14ac:dyDescent="0.25">
      <c r="A281" s="38">
        <f>+IF(B281="","",SUBTOTAL(3,$B$7:B281))</f>
        <v>275</v>
      </c>
      <c r="B281" s="40" t="s">
        <v>799</v>
      </c>
      <c r="C281" s="41">
        <v>45790</v>
      </c>
      <c r="D281" s="40" t="s">
        <v>208</v>
      </c>
      <c r="E281" s="38" t="s">
        <v>101</v>
      </c>
      <c r="F281" s="51">
        <v>2</v>
      </c>
      <c r="G281" s="51">
        <v>3333.33</v>
      </c>
      <c r="H281" s="51">
        <f t="shared" si="3"/>
        <v>6666.66</v>
      </c>
    </row>
    <row r="282" spans="1:8" ht="60" x14ac:dyDescent="0.25">
      <c r="A282" s="38">
        <f>+IF(B282="","",SUBTOTAL(3,$B$7:B282))</f>
        <v>276</v>
      </c>
      <c r="B282" s="40" t="s">
        <v>799</v>
      </c>
      <c r="C282" s="41">
        <v>45790</v>
      </c>
      <c r="D282" s="40" t="s">
        <v>746</v>
      </c>
      <c r="E282" s="38" t="s">
        <v>101</v>
      </c>
      <c r="F282" s="51">
        <v>1</v>
      </c>
      <c r="G282" s="51">
        <v>3000</v>
      </c>
      <c r="H282" s="51">
        <f t="shared" si="3"/>
        <v>3000</v>
      </c>
    </row>
    <row r="283" spans="1:8" ht="30" x14ac:dyDescent="0.25">
      <c r="A283" s="38">
        <f>+IF(B283="","",SUBTOTAL(3,$B$7:B283))</f>
        <v>277</v>
      </c>
      <c r="B283" s="40" t="s">
        <v>521</v>
      </c>
      <c r="C283" s="41">
        <v>45791</v>
      </c>
      <c r="D283" s="40" t="s">
        <v>699</v>
      </c>
      <c r="E283" s="38" t="s">
        <v>101</v>
      </c>
      <c r="F283" s="51">
        <v>4</v>
      </c>
      <c r="G283" s="51">
        <v>1111.1099999999999</v>
      </c>
      <c r="H283" s="51">
        <f t="shared" si="3"/>
        <v>4444.4399999999996</v>
      </c>
    </row>
    <row r="284" spans="1:8" ht="30" x14ac:dyDescent="0.25">
      <c r="A284" s="38">
        <f>+IF(B284="","",SUBTOTAL(3,$B$7:B284))</f>
        <v>278</v>
      </c>
      <c r="B284" s="40" t="s">
        <v>521</v>
      </c>
      <c r="C284" s="41">
        <v>45791</v>
      </c>
      <c r="D284" s="40" t="s">
        <v>188</v>
      </c>
      <c r="E284" s="38" t="s">
        <v>101</v>
      </c>
      <c r="F284" s="51">
        <v>2</v>
      </c>
      <c r="G284" s="51">
        <v>36000</v>
      </c>
      <c r="H284" s="51">
        <f t="shared" si="3"/>
        <v>72000</v>
      </c>
    </row>
    <row r="285" spans="1:8" ht="30" x14ac:dyDescent="0.25">
      <c r="A285" s="38">
        <f>+IF(B285="","",SUBTOTAL(3,$B$7:B285))</f>
        <v>279</v>
      </c>
      <c r="B285" s="40" t="s">
        <v>710</v>
      </c>
      <c r="C285" s="41">
        <v>45793</v>
      </c>
      <c r="D285" s="40" t="s">
        <v>863</v>
      </c>
      <c r="E285" s="38" t="s">
        <v>753</v>
      </c>
      <c r="F285" s="51">
        <v>2</v>
      </c>
      <c r="G285" s="51">
        <v>7896</v>
      </c>
      <c r="H285" s="51">
        <f t="shared" si="3"/>
        <v>15792</v>
      </c>
    </row>
    <row r="286" spans="1:8" x14ac:dyDescent="0.25">
      <c r="A286" s="38">
        <f>+IF(B286="","",SUBTOTAL(3,$B$7:B286))</f>
        <v>280</v>
      </c>
      <c r="B286" s="40" t="s">
        <v>710</v>
      </c>
      <c r="C286" s="41">
        <v>45793</v>
      </c>
      <c r="D286" s="40" t="s">
        <v>711</v>
      </c>
      <c r="E286" s="38" t="s">
        <v>101</v>
      </c>
      <c r="F286" s="51">
        <v>2</v>
      </c>
      <c r="G286" s="51">
        <v>13668</v>
      </c>
      <c r="H286" s="51">
        <f t="shared" si="3"/>
        <v>27336</v>
      </c>
    </row>
    <row r="287" spans="1:8" x14ac:dyDescent="0.25">
      <c r="A287" s="38">
        <f>+IF(B287="","",SUBTOTAL(3,$B$7:B287))</f>
        <v>281</v>
      </c>
      <c r="B287" s="40" t="s">
        <v>710</v>
      </c>
      <c r="C287" s="41">
        <v>45793</v>
      </c>
      <c r="D287" s="40" t="s">
        <v>712</v>
      </c>
      <c r="E287" s="38" t="s">
        <v>101</v>
      </c>
      <c r="F287" s="51">
        <v>5</v>
      </c>
      <c r="G287" s="51">
        <v>8800</v>
      </c>
      <c r="H287" s="51">
        <f t="shared" si="3"/>
        <v>44000</v>
      </c>
    </row>
    <row r="288" spans="1:8" x14ac:dyDescent="0.25">
      <c r="A288" s="38">
        <f>+IF(B288="","",SUBTOTAL(3,$B$7:B288))</f>
        <v>282</v>
      </c>
      <c r="B288" s="40" t="s">
        <v>698</v>
      </c>
      <c r="C288" s="41">
        <v>45793</v>
      </c>
      <c r="D288" s="40" t="s">
        <v>188</v>
      </c>
      <c r="E288" s="38" t="s">
        <v>101</v>
      </c>
      <c r="F288" s="51">
        <v>1</v>
      </c>
      <c r="G288" s="51">
        <v>36000</v>
      </c>
      <c r="H288" s="51">
        <f t="shared" si="3"/>
        <v>36000</v>
      </c>
    </row>
    <row r="289" spans="1:8" x14ac:dyDescent="0.25">
      <c r="A289" s="38">
        <f>+IF(B289="","",SUBTOTAL(3,$B$7:B289))</f>
        <v>283</v>
      </c>
      <c r="B289" s="40" t="s">
        <v>698</v>
      </c>
      <c r="C289" s="41">
        <v>45793</v>
      </c>
      <c r="D289" s="40" t="s">
        <v>699</v>
      </c>
      <c r="E289" s="38" t="s">
        <v>101</v>
      </c>
      <c r="F289" s="51">
        <v>4</v>
      </c>
      <c r="G289" s="51">
        <v>1111.1099999999999</v>
      </c>
      <c r="H289" s="51">
        <f t="shared" si="3"/>
        <v>4444.4399999999996</v>
      </c>
    </row>
    <row r="290" spans="1:8" x14ac:dyDescent="0.25">
      <c r="A290" s="38">
        <f>+IF(B290="","",SUBTOTAL(3,$B$7:B290))</f>
        <v>284</v>
      </c>
      <c r="B290" s="40" t="s">
        <v>698</v>
      </c>
      <c r="C290" s="41">
        <v>45793</v>
      </c>
      <c r="D290" s="40" t="s">
        <v>700</v>
      </c>
      <c r="E290" s="38" t="s">
        <v>101</v>
      </c>
      <c r="F290" s="51">
        <v>30</v>
      </c>
      <c r="G290" s="51">
        <v>1090</v>
      </c>
      <c r="H290" s="51">
        <f t="shared" si="3"/>
        <v>32700</v>
      </c>
    </row>
    <row r="291" spans="1:8" ht="30" x14ac:dyDescent="0.25">
      <c r="A291" s="38">
        <f>+IF(B291="","",SUBTOTAL(3,$B$7:B291))</f>
        <v>285</v>
      </c>
      <c r="B291" s="40" t="s">
        <v>442</v>
      </c>
      <c r="C291" s="41">
        <v>45799</v>
      </c>
      <c r="D291" s="40" t="s">
        <v>800</v>
      </c>
      <c r="E291" s="38" t="s">
        <v>101</v>
      </c>
      <c r="F291" s="51">
        <v>300</v>
      </c>
      <c r="G291" s="51">
        <v>14998</v>
      </c>
      <c r="H291" s="51">
        <f t="shared" si="3"/>
        <v>4499400</v>
      </c>
    </row>
    <row r="292" spans="1:8" x14ac:dyDescent="0.25">
      <c r="A292" s="38">
        <f>+IF(B292="","",SUBTOTAL(3,$B$7:B292))</f>
        <v>286</v>
      </c>
      <c r="B292" s="40" t="s">
        <v>705</v>
      </c>
      <c r="C292" s="41">
        <v>45800</v>
      </c>
      <c r="D292" s="40" t="s">
        <v>765</v>
      </c>
      <c r="E292" s="38" t="s">
        <v>741</v>
      </c>
      <c r="F292" s="51">
        <v>10</v>
      </c>
      <c r="G292" s="51">
        <v>34000</v>
      </c>
      <c r="H292" s="51">
        <f t="shared" si="3"/>
        <v>340000</v>
      </c>
    </row>
    <row r="293" spans="1:8" x14ac:dyDescent="0.25">
      <c r="A293" s="38">
        <f>+IF(B293="","",SUBTOTAL(3,$B$7:B293))</f>
        <v>287</v>
      </c>
      <c r="B293" s="40" t="s">
        <v>705</v>
      </c>
      <c r="C293" s="41">
        <v>45800</v>
      </c>
      <c r="D293" s="40" t="s">
        <v>100</v>
      </c>
      <c r="E293" s="38" t="s">
        <v>101</v>
      </c>
      <c r="F293" s="51">
        <v>10000</v>
      </c>
      <c r="G293" s="51">
        <v>140</v>
      </c>
      <c r="H293" s="51">
        <f t="shared" si="3"/>
        <v>1400000</v>
      </c>
    </row>
    <row r="294" spans="1:8" x14ac:dyDescent="0.25">
      <c r="A294" s="38">
        <f>+IF(B294="","",SUBTOTAL(3,$B$7:B294))</f>
        <v>288</v>
      </c>
      <c r="B294" s="40" t="s">
        <v>705</v>
      </c>
      <c r="C294" s="41">
        <v>45800</v>
      </c>
      <c r="D294" s="40" t="s">
        <v>801</v>
      </c>
      <c r="E294" s="38" t="s">
        <v>101</v>
      </c>
      <c r="F294" s="51">
        <v>5100</v>
      </c>
      <c r="G294" s="51">
        <v>34.950000000000003</v>
      </c>
      <c r="H294" s="51">
        <f t="shared" si="3"/>
        <v>178245</v>
      </c>
    </row>
    <row r="295" spans="1:8" x14ac:dyDescent="0.25">
      <c r="A295" s="38">
        <f>+IF(B295="","",SUBTOTAL(3,$B$7:B295))</f>
        <v>289</v>
      </c>
      <c r="B295" s="40" t="s">
        <v>705</v>
      </c>
      <c r="C295" s="41">
        <v>45800</v>
      </c>
      <c r="D295" s="40" t="s">
        <v>802</v>
      </c>
      <c r="E295" s="38" t="s">
        <v>101</v>
      </c>
      <c r="F295" s="51">
        <v>5100</v>
      </c>
      <c r="G295" s="51">
        <v>34.950000000000003</v>
      </c>
      <c r="H295" s="51">
        <f t="shared" si="3"/>
        <v>178245</v>
      </c>
    </row>
    <row r="296" spans="1:8" x14ac:dyDescent="0.25">
      <c r="A296" s="38">
        <f>+IF(B296="","",SUBTOTAL(3,$B$7:B296))</f>
        <v>290</v>
      </c>
      <c r="B296" s="40" t="s">
        <v>705</v>
      </c>
      <c r="C296" s="41">
        <v>45800</v>
      </c>
      <c r="D296" s="40" t="s">
        <v>706</v>
      </c>
      <c r="E296" s="38" t="s">
        <v>707</v>
      </c>
      <c r="F296" s="51">
        <v>10</v>
      </c>
      <c r="G296" s="51">
        <v>9900</v>
      </c>
      <c r="H296" s="51">
        <f t="shared" si="3"/>
        <v>99000</v>
      </c>
    </row>
    <row r="297" spans="1:8" ht="30" x14ac:dyDescent="0.25">
      <c r="A297" s="38">
        <f>+IF(B297="","",SUBTOTAL(3,$B$7:B297))</f>
        <v>291</v>
      </c>
      <c r="B297" s="40" t="s">
        <v>717</v>
      </c>
      <c r="C297" s="41">
        <v>45806</v>
      </c>
      <c r="D297" s="40" t="s">
        <v>718</v>
      </c>
      <c r="E297" s="38" t="s">
        <v>101</v>
      </c>
      <c r="F297" s="51">
        <v>100</v>
      </c>
      <c r="G297" s="51">
        <v>12992</v>
      </c>
      <c r="H297" s="51">
        <f t="shared" si="3"/>
        <v>1299200</v>
      </c>
    </row>
    <row r="298" spans="1:8" x14ac:dyDescent="0.25">
      <c r="A298" s="38">
        <f>+IF(B298="","",SUBTOTAL(3,$B$7:B298))</f>
        <v>292</v>
      </c>
      <c r="B298" s="40" t="s">
        <v>717</v>
      </c>
      <c r="C298" s="41">
        <v>45806</v>
      </c>
      <c r="D298" s="40" t="s">
        <v>762</v>
      </c>
      <c r="E298" s="38" t="s">
        <v>101</v>
      </c>
      <c r="F298" s="51">
        <v>100</v>
      </c>
      <c r="G298" s="51">
        <v>1904</v>
      </c>
      <c r="H298" s="51">
        <f t="shared" si="3"/>
        <v>190400</v>
      </c>
    </row>
    <row r="299" spans="1:8" x14ac:dyDescent="0.25">
      <c r="A299" s="38">
        <f>+IF(B299="","",SUBTOTAL(3,$B$7:B299))</f>
        <v>293</v>
      </c>
      <c r="B299" s="40" t="s">
        <v>717</v>
      </c>
      <c r="C299" s="41">
        <v>45806</v>
      </c>
      <c r="D299" s="40" t="s">
        <v>188</v>
      </c>
      <c r="E299" s="38" t="s">
        <v>101</v>
      </c>
      <c r="F299" s="51">
        <v>1</v>
      </c>
      <c r="G299" s="51">
        <v>36000</v>
      </c>
      <c r="H299" s="51">
        <f t="shared" si="3"/>
        <v>36000</v>
      </c>
    </row>
    <row r="300" spans="1:8" x14ac:dyDescent="0.25">
      <c r="A300" s="38">
        <f>+IF(B300="","",SUBTOTAL(3,$B$7:B300))</f>
        <v>294</v>
      </c>
      <c r="B300" s="40" t="s">
        <v>717</v>
      </c>
      <c r="C300" s="41">
        <v>45806</v>
      </c>
      <c r="D300" s="40" t="s">
        <v>699</v>
      </c>
      <c r="E300" s="38" t="s">
        <v>101</v>
      </c>
      <c r="F300" s="51">
        <v>7</v>
      </c>
      <c r="G300" s="51">
        <v>1111.1099999999999</v>
      </c>
      <c r="H300" s="51">
        <f t="shared" si="3"/>
        <v>7777.7699999999995</v>
      </c>
    </row>
    <row r="301" spans="1:8" x14ac:dyDescent="0.25">
      <c r="A301" s="38">
        <f>+IF(B301="","",SUBTOTAL(3,$B$7:B301))</f>
        <v>295</v>
      </c>
      <c r="B301" s="40" t="s">
        <v>717</v>
      </c>
      <c r="C301" s="41">
        <v>45806</v>
      </c>
      <c r="D301" s="40" t="s">
        <v>700</v>
      </c>
      <c r="E301" s="38" t="s">
        <v>101</v>
      </c>
      <c r="F301" s="51">
        <v>15</v>
      </c>
      <c r="G301" s="51">
        <v>1090</v>
      </c>
      <c r="H301" s="51">
        <f t="shared" si="3"/>
        <v>16350</v>
      </c>
    </row>
    <row r="302" spans="1:8" x14ac:dyDescent="0.25">
      <c r="A302" s="38">
        <f>+IF(B302="","",SUBTOTAL(3,$B$7:B302))</f>
        <v>296</v>
      </c>
      <c r="B302" s="40" t="s">
        <v>717</v>
      </c>
      <c r="C302" s="41">
        <v>45806</v>
      </c>
      <c r="D302" s="40" t="s">
        <v>771</v>
      </c>
      <c r="E302" s="38" t="s">
        <v>101</v>
      </c>
      <c r="F302" s="51">
        <v>50</v>
      </c>
      <c r="G302" s="51">
        <v>380</v>
      </c>
      <c r="H302" s="51">
        <f t="shared" si="3"/>
        <v>19000</v>
      </c>
    </row>
    <row r="303" spans="1:8" ht="30" x14ac:dyDescent="0.25">
      <c r="A303" s="38">
        <f>+IF(B303="","",SUBTOTAL(3,$B$7:B303))</f>
        <v>297</v>
      </c>
      <c r="B303" s="40" t="s">
        <v>449</v>
      </c>
      <c r="C303" s="41">
        <v>45811</v>
      </c>
      <c r="D303" s="40" t="s">
        <v>735</v>
      </c>
      <c r="E303" s="38" t="s">
        <v>101</v>
      </c>
      <c r="F303" s="51">
        <v>3</v>
      </c>
      <c r="G303" s="51">
        <v>280720</v>
      </c>
      <c r="H303" s="51">
        <f t="shared" si="3"/>
        <v>842160</v>
      </c>
    </row>
    <row r="304" spans="1:8" ht="30" x14ac:dyDescent="0.25">
      <c r="A304" s="38">
        <f>+IF(B304="","",SUBTOTAL(3,$B$7:B304))</f>
        <v>298</v>
      </c>
      <c r="B304" s="40" t="s">
        <v>449</v>
      </c>
      <c r="C304" s="41">
        <v>45811</v>
      </c>
      <c r="D304" s="40" t="s">
        <v>188</v>
      </c>
      <c r="E304" s="38" t="s">
        <v>101</v>
      </c>
      <c r="F304" s="51">
        <v>1</v>
      </c>
      <c r="G304" s="51">
        <v>36000</v>
      </c>
      <c r="H304" s="51">
        <f t="shared" si="3"/>
        <v>36000</v>
      </c>
    </row>
    <row r="305" spans="1:8" x14ac:dyDescent="0.25">
      <c r="A305" s="38">
        <f>+IF(B305="","",SUBTOTAL(3,$B$7:B305))</f>
        <v>299</v>
      </c>
      <c r="B305" s="40" t="s">
        <v>442</v>
      </c>
      <c r="C305" s="41">
        <v>45812</v>
      </c>
      <c r="D305" s="40" t="s">
        <v>712</v>
      </c>
      <c r="E305" s="38" t="s">
        <v>101</v>
      </c>
      <c r="F305" s="51">
        <v>10</v>
      </c>
      <c r="G305" s="51">
        <v>8800</v>
      </c>
      <c r="H305" s="51">
        <f t="shared" si="3"/>
        <v>88000</v>
      </c>
    </row>
    <row r="306" spans="1:8" ht="30" x14ac:dyDescent="0.25">
      <c r="A306" s="38">
        <f>+IF(B306="","",SUBTOTAL(3,$B$7:B306))</f>
        <v>300</v>
      </c>
      <c r="B306" s="40" t="s">
        <v>442</v>
      </c>
      <c r="C306" s="41">
        <v>45812</v>
      </c>
      <c r="D306" s="40" t="s">
        <v>866</v>
      </c>
      <c r="E306" s="38" t="s">
        <v>101</v>
      </c>
      <c r="F306" s="51">
        <v>2</v>
      </c>
      <c r="G306" s="51">
        <v>8092</v>
      </c>
      <c r="H306" s="51">
        <f t="shared" si="3"/>
        <v>16184</v>
      </c>
    </row>
    <row r="307" spans="1:8" x14ac:dyDescent="0.25">
      <c r="A307" s="38">
        <f>+IF(B307="","",SUBTOTAL(3,$B$7:B307))</f>
        <v>301</v>
      </c>
      <c r="B307" s="40" t="s">
        <v>442</v>
      </c>
      <c r="C307" s="41">
        <v>45812</v>
      </c>
      <c r="D307" s="40" t="s">
        <v>714</v>
      </c>
      <c r="E307" s="38" t="s">
        <v>101</v>
      </c>
      <c r="F307" s="51">
        <v>1</v>
      </c>
      <c r="G307" s="51">
        <v>20000</v>
      </c>
      <c r="H307" s="51">
        <f t="shared" si="3"/>
        <v>20000</v>
      </c>
    </row>
    <row r="308" spans="1:8" x14ac:dyDescent="0.25">
      <c r="A308" s="38">
        <f>+IF(B308="","",SUBTOTAL(3,$B$7:B308))</f>
        <v>302</v>
      </c>
      <c r="B308" s="40" t="s">
        <v>442</v>
      </c>
      <c r="C308" s="41">
        <v>45812</v>
      </c>
      <c r="D308" s="40" t="s">
        <v>729</v>
      </c>
      <c r="E308" s="38" t="s">
        <v>101</v>
      </c>
      <c r="F308" s="51">
        <v>1</v>
      </c>
      <c r="G308" s="51">
        <v>55000</v>
      </c>
      <c r="H308" s="51">
        <f t="shared" si="3"/>
        <v>55000</v>
      </c>
    </row>
    <row r="309" spans="1:8" ht="30" x14ac:dyDescent="0.25">
      <c r="A309" s="38">
        <f>+IF(B309="","",SUBTOTAL(3,$B$7:B309))</f>
        <v>303</v>
      </c>
      <c r="B309" s="40" t="s">
        <v>442</v>
      </c>
      <c r="C309" s="41">
        <v>45812</v>
      </c>
      <c r="D309" s="40" t="s">
        <v>734</v>
      </c>
      <c r="E309" s="38" t="s">
        <v>707</v>
      </c>
      <c r="F309" s="51">
        <v>8</v>
      </c>
      <c r="G309" s="51">
        <v>5941</v>
      </c>
      <c r="H309" s="51">
        <f t="shared" si="3"/>
        <v>47528</v>
      </c>
    </row>
    <row r="310" spans="1:8" ht="30" x14ac:dyDescent="0.25">
      <c r="A310" s="38">
        <f>+IF(B310="","",SUBTOTAL(3,$B$7:B310))</f>
        <v>304</v>
      </c>
      <c r="B310" s="40" t="s">
        <v>442</v>
      </c>
      <c r="C310" s="41">
        <v>45812</v>
      </c>
      <c r="D310" s="40" t="s">
        <v>727</v>
      </c>
      <c r="E310" s="38" t="s">
        <v>101</v>
      </c>
      <c r="F310" s="51">
        <v>6</v>
      </c>
      <c r="G310" s="51">
        <v>4800</v>
      </c>
      <c r="H310" s="51">
        <f t="shared" si="3"/>
        <v>28800</v>
      </c>
    </row>
    <row r="311" spans="1:8" x14ac:dyDescent="0.25">
      <c r="A311" s="38">
        <f>+IF(B311="","",SUBTOTAL(3,$B$7:B311))</f>
        <v>305</v>
      </c>
      <c r="B311" s="40" t="s">
        <v>442</v>
      </c>
      <c r="C311" s="41">
        <v>45812</v>
      </c>
      <c r="D311" s="40" t="s">
        <v>731</v>
      </c>
      <c r="E311" s="38" t="s">
        <v>101</v>
      </c>
      <c r="F311" s="51">
        <v>5</v>
      </c>
      <c r="G311" s="51">
        <v>5500</v>
      </c>
      <c r="H311" s="51">
        <f t="shared" si="3"/>
        <v>27500</v>
      </c>
    </row>
    <row r="312" spans="1:8" x14ac:dyDescent="0.25">
      <c r="A312" s="38">
        <f>+IF(B312="","",SUBTOTAL(3,$B$7:B312))</f>
        <v>306</v>
      </c>
      <c r="B312" s="40" t="s">
        <v>442</v>
      </c>
      <c r="C312" s="41">
        <v>45812</v>
      </c>
      <c r="D312" s="40" t="s">
        <v>732</v>
      </c>
      <c r="E312" s="38" t="s">
        <v>132</v>
      </c>
      <c r="F312" s="51">
        <v>6</v>
      </c>
      <c r="G312" s="51">
        <v>5454</v>
      </c>
      <c r="H312" s="51">
        <f t="shared" si="3"/>
        <v>32724</v>
      </c>
    </row>
    <row r="313" spans="1:8" ht="30" x14ac:dyDescent="0.25">
      <c r="A313" s="38">
        <f>+IF(B313="","",SUBTOTAL(3,$B$7:B313))</f>
        <v>307</v>
      </c>
      <c r="B313" s="40" t="s">
        <v>442</v>
      </c>
      <c r="C313" s="41">
        <v>45812</v>
      </c>
      <c r="D313" s="40" t="s">
        <v>733</v>
      </c>
      <c r="E313" s="38" t="s">
        <v>101</v>
      </c>
      <c r="F313" s="51">
        <v>6</v>
      </c>
      <c r="G313" s="51">
        <v>6250</v>
      </c>
      <c r="H313" s="51">
        <f t="shared" si="3"/>
        <v>37500</v>
      </c>
    </row>
    <row r="314" spans="1:8" x14ac:dyDescent="0.25">
      <c r="A314" s="38">
        <f>+IF(B314="","",SUBTOTAL(3,$B$7:B314))</f>
        <v>308</v>
      </c>
      <c r="B314" s="40" t="s">
        <v>442</v>
      </c>
      <c r="C314" s="41">
        <v>45812</v>
      </c>
      <c r="D314" s="40" t="s">
        <v>730</v>
      </c>
      <c r="E314" s="38" t="s">
        <v>101</v>
      </c>
      <c r="F314" s="51">
        <v>2</v>
      </c>
      <c r="G314" s="51">
        <v>23000</v>
      </c>
      <c r="H314" s="51">
        <f t="shared" si="3"/>
        <v>46000</v>
      </c>
    </row>
    <row r="315" spans="1:8" ht="30" x14ac:dyDescent="0.25">
      <c r="A315" s="38">
        <f>+IF(B315="","",SUBTOTAL(3,$B$7:B315))</f>
        <v>309</v>
      </c>
      <c r="B315" s="40" t="s">
        <v>442</v>
      </c>
      <c r="C315" s="41">
        <v>45812</v>
      </c>
      <c r="D315" s="40" t="s">
        <v>803</v>
      </c>
      <c r="E315" s="38" t="s">
        <v>101</v>
      </c>
      <c r="F315" s="51">
        <v>2</v>
      </c>
      <c r="G315" s="51">
        <v>8589</v>
      </c>
      <c r="H315" s="51">
        <f t="shared" si="3"/>
        <v>17178</v>
      </c>
    </row>
    <row r="316" spans="1:8" x14ac:dyDescent="0.25">
      <c r="A316" s="38">
        <f>+IF(B316="","",SUBTOTAL(3,$B$7:B316))</f>
        <v>310</v>
      </c>
      <c r="B316" s="40" t="s">
        <v>442</v>
      </c>
      <c r="C316" s="41">
        <v>45812</v>
      </c>
      <c r="D316" s="40" t="s">
        <v>715</v>
      </c>
      <c r="E316" s="38" t="s">
        <v>140</v>
      </c>
      <c r="F316" s="51">
        <v>2</v>
      </c>
      <c r="G316" s="51">
        <v>19500</v>
      </c>
      <c r="H316" s="51">
        <f t="shared" si="3"/>
        <v>39000</v>
      </c>
    </row>
    <row r="317" spans="1:8" x14ac:dyDescent="0.25">
      <c r="A317" s="38">
        <f>+IF(B317="","",SUBTOTAL(3,$B$7:B317))</f>
        <v>311</v>
      </c>
      <c r="B317" s="40" t="s">
        <v>442</v>
      </c>
      <c r="C317" s="41">
        <v>45812</v>
      </c>
      <c r="D317" s="40" t="s">
        <v>754</v>
      </c>
      <c r="E317" s="38" t="s">
        <v>101</v>
      </c>
      <c r="F317" s="51">
        <v>4</v>
      </c>
      <c r="G317" s="51">
        <v>4400</v>
      </c>
      <c r="H317" s="51">
        <f t="shared" si="3"/>
        <v>17600</v>
      </c>
    </row>
    <row r="318" spans="1:8" x14ac:dyDescent="0.25">
      <c r="A318" s="38">
        <f>+IF(B318="","",SUBTOTAL(3,$B$7:B318))</f>
        <v>312</v>
      </c>
      <c r="B318" s="40" t="s">
        <v>442</v>
      </c>
      <c r="C318" s="41">
        <v>45812</v>
      </c>
      <c r="D318" s="40" t="s">
        <v>862</v>
      </c>
      <c r="E318" s="38" t="s">
        <v>101</v>
      </c>
      <c r="F318" s="51">
        <v>4</v>
      </c>
      <c r="G318" s="51">
        <v>27000</v>
      </c>
      <c r="H318" s="51">
        <f t="shared" si="3"/>
        <v>108000</v>
      </c>
    </row>
    <row r="319" spans="1:8" x14ac:dyDescent="0.25">
      <c r="A319" s="38">
        <f>+IF(B319="","",SUBTOTAL(3,$B$7:B319))</f>
        <v>313</v>
      </c>
      <c r="B319" s="40" t="s">
        <v>710</v>
      </c>
      <c r="C319" s="41">
        <v>45812</v>
      </c>
      <c r="D319" s="40" t="s">
        <v>711</v>
      </c>
      <c r="E319" s="38" t="s">
        <v>101</v>
      </c>
      <c r="F319" s="51">
        <v>4</v>
      </c>
      <c r="G319" s="51">
        <v>13668</v>
      </c>
      <c r="H319" s="51">
        <f t="shared" si="3"/>
        <v>54672</v>
      </c>
    </row>
    <row r="320" spans="1:8" x14ac:dyDescent="0.25">
      <c r="A320" s="38">
        <f>+IF(B320="","",SUBTOTAL(3,$B$7:B320))</f>
        <v>314</v>
      </c>
      <c r="B320" s="40" t="s">
        <v>710</v>
      </c>
      <c r="C320" s="41">
        <v>45812</v>
      </c>
      <c r="D320" s="40" t="s">
        <v>699</v>
      </c>
      <c r="E320" s="38" t="s">
        <v>101</v>
      </c>
      <c r="F320" s="51">
        <v>6</v>
      </c>
      <c r="G320" s="51">
        <v>1111.1099999999999</v>
      </c>
      <c r="H320" s="51">
        <f t="shared" si="3"/>
        <v>6666.66</v>
      </c>
    </row>
    <row r="321" spans="1:8" ht="30" x14ac:dyDescent="0.25">
      <c r="A321" s="38">
        <f>+IF(B321="","",SUBTOTAL(3,$B$7:B321))</f>
        <v>315</v>
      </c>
      <c r="B321" s="40" t="s">
        <v>710</v>
      </c>
      <c r="C321" s="41">
        <v>45812</v>
      </c>
      <c r="D321" s="40" t="s">
        <v>863</v>
      </c>
      <c r="E321" s="38" t="s">
        <v>753</v>
      </c>
      <c r="F321" s="51">
        <v>2</v>
      </c>
      <c r="G321" s="51">
        <v>7896</v>
      </c>
      <c r="H321" s="51">
        <f t="shared" si="3"/>
        <v>15792</v>
      </c>
    </row>
    <row r="322" spans="1:8" ht="30" x14ac:dyDescent="0.25">
      <c r="A322" s="38">
        <f>+IF(B322="","",SUBTOTAL(3,$B$7:B322))</f>
        <v>316</v>
      </c>
      <c r="B322" s="40" t="s">
        <v>462</v>
      </c>
      <c r="C322" s="41">
        <v>45813</v>
      </c>
      <c r="D322" s="40" t="s">
        <v>208</v>
      </c>
      <c r="E322" s="38" t="s">
        <v>101</v>
      </c>
      <c r="F322" s="51">
        <v>4</v>
      </c>
      <c r="G322" s="51">
        <v>3333.33</v>
      </c>
      <c r="H322" s="51">
        <f t="shared" si="3"/>
        <v>13333.32</v>
      </c>
    </row>
    <row r="323" spans="1:8" ht="30" x14ac:dyDescent="0.25">
      <c r="A323" s="38">
        <f>+IF(B323="","",SUBTOTAL(3,$B$7:B323))</f>
        <v>317</v>
      </c>
      <c r="B323" s="40" t="s">
        <v>462</v>
      </c>
      <c r="C323" s="41">
        <v>45813</v>
      </c>
      <c r="D323" s="40" t="s">
        <v>699</v>
      </c>
      <c r="E323" s="38" t="s">
        <v>101</v>
      </c>
      <c r="F323" s="51">
        <v>6</v>
      </c>
      <c r="G323" s="51">
        <v>1111.1099999999999</v>
      </c>
      <c r="H323" s="51">
        <f t="shared" si="3"/>
        <v>6666.66</v>
      </c>
    </row>
    <row r="324" spans="1:8" ht="30" x14ac:dyDescent="0.25">
      <c r="A324" s="38">
        <f>+IF(B324="","",SUBTOTAL(3,$B$7:B324))</f>
        <v>318</v>
      </c>
      <c r="B324" s="40" t="s">
        <v>462</v>
      </c>
      <c r="C324" s="41">
        <v>45813</v>
      </c>
      <c r="D324" s="40" t="s">
        <v>739</v>
      </c>
      <c r="E324" s="38" t="s">
        <v>101</v>
      </c>
      <c r="F324" s="51">
        <v>1</v>
      </c>
      <c r="G324" s="51">
        <v>81000</v>
      </c>
      <c r="H324" s="51">
        <f t="shared" si="3"/>
        <v>81000</v>
      </c>
    </row>
    <row r="325" spans="1:8" x14ac:dyDescent="0.25">
      <c r="A325" s="38">
        <f>+IF(B325="","",SUBTOTAL(3,$B$7:B325))</f>
        <v>319</v>
      </c>
      <c r="B325" s="40" t="s">
        <v>710</v>
      </c>
      <c r="C325" s="41">
        <v>45818</v>
      </c>
      <c r="D325" s="40" t="s">
        <v>804</v>
      </c>
      <c r="E325" s="38" t="s">
        <v>101</v>
      </c>
      <c r="F325" s="51">
        <v>4</v>
      </c>
      <c r="G325" s="51">
        <v>36999</v>
      </c>
      <c r="H325" s="51">
        <f t="shared" si="3"/>
        <v>147996</v>
      </c>
    </row>
    <row r="326" spans="1:8" ht="60" x14ac:dyDescent="0.25">
      <c r="A326" s="38">
        <f>+IF(B326="","",SUBTOTAL(3,$B$7:B326))</f>
        <v>320</v>
      </c>
      <c r="B326" s="40" t="s">
        <v>799</v>
      </c>
      <c r="C326" s="41">
        <v>45818</v>
      </c>
      <c r="D326" s="40" t="s">
        <v>188</v>
      </c>
      <c r="E326" s="38" t="s">
        <v>101</v>
      </c>
      <c r="F326" s="51">
        <v>1</v>
      </c>
      <c r="G326" s="51">
        <v>36000</v>
      </c>
      <c r="H326" s="51">
        <f t="shared" si="3"/>
        <v>36000</v>
      </c>
    </row>
    <row r="327" spans="1:8" x14ac:dyDescent="0.25">
      <c r="A327" s="38">
        <f>+IF(B327="","",SUBTOTAL(3,$B$7:B327))</f>
        <v>321</v>
      </c>
      <c r="B327" s="40" t="s">
        <v>698</v>
      </c>
      <c r="C327" s="41">
        <v>45819</v>
      </c>
      <c r="D327" s="40" t="s">
        <v>740</v>
      </c>
      <c r="E327" s="38" t="s">
        <v>741</v>
      </c>
      <c r="F327" s="51">
        <v>21.1</v>
      </c>
      <c r="G327" s="51">
        <v>23000</v>
      </c>
      <c r="H327" s="51">
        <f t="shared" si="3"/>
        <v>485300.00000000006</v>
      </c>
    </row>
    <row r="328" spans="1:8" x14ac:dyDescent="0.25">
      <c r="A328" s="38">
        <f>+IF(B328="","",SUBTOTAL(3,$B$7:B328))</f>
        <v>322</v>
      </c>
      <c r="B328" s="40" t="s">
        <v>698</v>
      </c>
      <c r="C328" s="41">
        <v>45819</v>
      </c>
      <c r="D328" s="40" t="s">
        <v>702</v>
      </c>
      <c r="E328" s="38" t="s">
        <v>741</v>
      </c>
      <c r="F328" s="51">
        <v>18.02</v>
      </c>
      <c r="G328" s="51">
        <v>23000</v>
      </c>
      <c r="H328" s="51">
        <f t="shared" si="3"/>
        <v>414460</v>
      </c>
    </row>
    <row r="329" spans="1:8" x14ac:dyDescent="0.25">
      <c r="A329" s="38">
        <f>+IF(B329="","",SUBTOTAL(3,$B$7:B329))</f>
        <v>323</v>
      </c>
      <c r="B329" s="40" t="s">
        <v>698</v>
      </c>
      <c r="C329" s="41">
        <v>45819</v>
      </c>
      <c r="D329" s="40" t="s">
        <v>700</v>
      </c>
      <c r="E329" s="38" t="s">
        <v>101</v>
      </c>
      <c r="F329" s="51">
        <v>8</v>
      </c>
      <c r="G329" s="51">
        <v>1090</v>
      </c>
      <c r="H329" s="51">
        <f t="shared" si="3"/>
        <v>8720</v>
      </c>
    </row>
    <row r="330" spans="1:8" x14ac:dyDescent="0.25">
      <c r="A330" s="38">
        <f>+IF(B330="","",SUBTOTAL(3,$B$7:B330))</f>
        <v>324</v>
      </c>
      <c r="B330" s="40" t="s">
        <v>698</v>
      </c>
      <c r="C330" s="41">
        <v>45819</v>
      </c>
      <c r="D330" s="40" t="s">
        <v>699</v>
      </c>
      <c r="E330" s="38" t="s">
        <v>101</v>
      </c>
      <c r="F330" s="51">
        <v>4</v>
      </c>
      <c r="G330" s="51">
        <v>1111.1099999999999</v>
      </c>
      <c r="H330" s="51">
        <f t="shared" si="3"/>
        <v>4444.4399999999996</v>
      </c>
    </row>
    <row r="331" spans="1:8" x14ac:dyDescent="0.25">
      <c r="A331" s="38">
        <f>+IF(B331="","",SUBTOTAL(3,$B$7:B331))</f>
        <v>325</v>
      </c>
      <c r="B331" s="40" t="s">
        <v>698</v>
      </c>
      <c r="C331" s="41">
        <v>45819</v>
      </c>
      <c r="D331" s="40" t="s">
        <v>188</v>
      </c>
      <c r="E331" s="38" t="s">
        <v>101</v>
      </c>
      <c r="F331" s="51">
        <v>1</v>
      </c>
      <c r="G331" s="51">
        <v>36000</v>
      </c>
      <c r="H331" s="51">
        <f t="shared" si="3"/>
        <v>36000</v>
      </c>
    </row>
    <row r="332" spans="1:8" x14ac:dyDescent="0.25">
      <c r="A332" s="38">
        <f>+IF(B332="","",SUBTOTAL(3,$B$7:B332))</f>
        <v>326</v>
      </c>
      <c r="B332" s="40" t="s">
        <v>705</v>
      </c>
      <c r="C332" s="41">
        <v>45819</v>
      </c>
      <c r="D332" s="40" t="s">
        <v>699</v>
      </c>
      <c r="E332" s="38" t="s">
        <v>101</v>
      </c>
      <c r="F332" s="51">
        <v>30</v>
      </c>
      <c r="G332" s="51">
        <v>1111.1099999999999</v>
      </c>
      <c r="H332" s="51">
        <f t="shared" si="3"/>
        <v>33333.299999999996</v>
      </c>
    </row>
    <row r="333" spans="1:8" x14ac:dyDescent="0.25">
      <c r="A333" s="38">
        <f>+IF(B333="","",SUBTOTAL(3,$B$7:B333))</f>
        <v>327</v>
      </c>
      <c r="B333" s="40" t="s">
        <v>705</v>
      </c>
      <c r="C333" s="41">
        <v>45819</v>
      </c>
      <c r="D333" s="40" t="s">
        <v>208</v>
      </c>
      <c r="E333" s="38" t="s">
        <v>101</v>
      </c>
      <c r="F333" s="51">
        <v>4</v>
      </c>
      <c r="G333" s="51">
        <v>3333.33</v>
      </c>
      <c r="H333" s="51">
        <f t="shared" si="3"/>
        <v>13333.32</v>
      </c>
    </row>
    <row r="334" spans="1:8" x14ac:dyDescent="0.25">
      <c r="A334" s="38">
        <f>+IF(B334="","",SUBTOTAL(3,$B$7:B334))</f>
        <v>328</v>
      </c>
      <c r="B334" s="40" t="s">
        <v>705</v>
      </c>
      <c r="C334" s="41">
        <v>45819</v>
      </c>
      <c r="D334" s="40" t="s">
        <v>196</v>
      </c>
      <c r="E334" s="38" t="s">
        <v>101</v>
      </c>
      <c r="F334" s="51">
        <v>2</v>
      </c>
      <c r="G334" s="51">
        <v>6999</v>
      </c>
      <c r="H334" s="51">
        <f t="shared" si="3"/>
        <v>13998</v>
      </c>
    </row>
    <row r="335" spans="1:8" x14ac:dyDescent="0.25">
      <c r="A335" s="38">
        <f>+IF(B335="","",SUBTOTAL(3,$B$7:B335))</f>
        <v>329</v>
      </c>
      <c r="B335" s="40" t="s">
        <v>705</v>
      </c>
      <c r="C335" s="41">
        <v>45819</v>
      </c>
      <c r="D335" s="40" t="s">
        <v>805</v>
      </c>
      <c r="E335" s="38" t="s">
        <v>101</v>
      </c>
      <c r="F335" s="51">
        <v>20</v>
      </c>
      <c r="G335" s="51">
        <v>12000</v>
      </c>
      <c r="H335" s="51">
        <f t="shared" si="3"/>
        <v>240000</v>
      </c>
    </row>
    <row r="336" spans="1:8" ht="30" x14ac:dyDescent="0.25">
      <c r="A336" s="38">
        <f>+IF(B336="","",SUBTOTAL(3,$B$7:B336))</f>
        <v>330</v>
      </c>
      <c r="B336" s="40" t="s">
        <v>705</v>
      </c>
      <c r="C336" s="41">
        <v>45819</v>
      </c>
      <c r="D336" s="40" t="s">
        <v>701</v>
      </c>
      <c r="E336" s="38" t="s">
        <v>101</v>
      </c>
      <c r="F336" s="51">
        <v>12</v>
      </c>
      <c r="G336" s="51">
        <v>19600</v>
      </c>
      <c r="H336" s="51">
        <f t="shared" si="3"/>
        <v>235200</v>
      </c>
    </row>
    <row r="337" spans="1:8" ht="30" x14ac:dyDescent="0.25">
      <c r="A337" s="38">
        <f>+IF(B337="","",SUBTOTAL(3,$B$7:B337))</f>
        <v>331</v>
      </c>
      <c r="B337" s="40" t="s">
        <v>705</v>
      </c>
      <c r="C337" s="41">
        <v>45819</v>
      </c>
      <c r="D337" s="40" t="s">
        <v>727</v>
      </c>
      <c r="E337" s="38" t="s">
        <v>101</v>
      </c>
      <c r="F337" s="51">
        <v>4</v>
      </c>
      <c r="G337" s="51">
        <v>4800</v>
      </c>
      <c r="H337" s="51">
        <f t="shared" si="3"/>
        <v>19200</v>
      </c>
    </row>
    <row r="338" spans="1:8" ht="60" x14ac:dyDescent="0.25">
      <c r="A338" s="38">
        <f>+IF(B338="","",SUBTOTAL(3,$B$7:B338))</f>
        <v>332</v>
      </c>
      <c r="B338" s="40" t="s">
        <v>705</v>
      </c>
      <c r="C338" s="41">
        <v>45819</v>
      </c>
      <c r="D338" s="40" t="s">
        <v>859</v>
      </c>
      <c r="E338" s="38" t="s">
        <v>132</v>
      </c>
      <c r="F338" s="51">
        <v>5</v>
      </c>
      <c r="G338" s="51">
        <v>2150</v>
      </c>
      <c r="H338" s="51">
        <f t="shared" si="3"/>
        <v>10750</v>
      </c>
    </row>
    <row r="339" spans="1:8" x14ac:dyDescent="0.25">
      <c r="A339" s="38">
        <f>+IF(B339="","",SUBTOTAL(3,$B$7:B339))</f>
        <v>333</v>
      </c>
      <c r="B339" s="40" t="s">
        <v>705</v>
      </c>
      <c r="C339" s="41">
        <v>45819</v>
      </c>
      <c r="D339" s="40" t="s">
        <v>706</v>
      </c>
      <c r="E339" s="38" t="s">
        <v>707</v>
      </c>
      <c r="F339" s="51">
        <v>10</v>
      </c>
      <c r="G339" s="51">
        <v>9900</v>
      </c>
      <c r="H339" s="51">
        <f t="shared" si="3"/>
        <v>99000</v>
      </c>
    </row>
    <row r="340" spans="1:8" x14ac:dyDescent="0.25">
      <c r="A340" s="38">
        <f>+IF(B340="","",SUBTOTAL(3,$B$7:B340))</f>
        <v>334</v>
      </c>
      <c r="B340" s="40" t="s">
        <v>705</v>
      </c>
      <c r="C340" s="41">
        <v>45819</v>
      </c>
      <c r="D340" s="40" t="s">
        <v>229</v>
      </c>
      <c r="E340" s="38" t="s">
        <v>741</v>
      </c>
      <c r="F340" s="51">
        <v>10</v>
      </c>
      <c r="G340" s="51">
        <v>26500</v>
      </c>
      <c r="H340" s="51">
        <f t="shared" si="3"/>
        <v>265000</v>
      </c>
    </row>
    <row r="341" spans="1:8" x14ac:dyDescent="0.25">
      <c r="A341" s="38">
        <f>+IF(B341="","",SUBTOTAL(3,$B$7:B341))</f>
        <v>335</v>
      </c>
      <c r="B341" s="40" t="s">
        <v>705</v>
      </c>
      <c r="C341" s="41">
        <v>45819</v>
      </c>
      <c r="D341" s="40" t="s">
        <v>228</v>
      </c>
      <c r="E341" s="38" t="s">
        <v>741</v>
      </c>
      <c r="F341" s="51">
        <v>4</v>
      </c>
      <c r="G341" s="51">
        <v>57222</v>
      </c>
      <c r="H341" s="51">
        <f t="shared" si="3"/>
        <v>228888</v>
      </c>
    </row>
    <row r="342" spans="1:8" x14ac:dyDescent="0.25">
      <c r="A342" s="38">
        <f>+IF(B342="","",SUBTOTAL(3,$B$7:B342))</f>
        <v>336</v>
      </c>
      <c r="B342" s="40" t="s">
        <v>705</v>
      </c>
      <c r="C342" s="41">
        <v>45819</v>
      </c>
      <c r="D342" s="40" t="s">
        <v>100</v>
      </c>
      <c r="E342" s="38" t="s">
        <v>101</v>
      </c>
      <c r="F342" s="51">
        <v>5000</v>
      </c>
      <c r="G342" s="51">
        <v>140</v>
      </c>
      <c r="H342" s="51">
        <f t="shared" si="3"/>
        <v>700000</v>
      </c>
    </row>
    <row r="343" spans="1:8" x14ac:dyDescent="0.25">
      <c r="A343" s="38">
        <f>+IF(B343="","",SUBTOTAL(3,$B$7:B343))</f>
        <v>337</v>
      </c>
      <c r="B343" s="40" t="s">
        <v>705</v>
      </c>
      <c r="C343" s="41">
        <v>45819</v>
      </c>
      <c r="D343" s="40" t="s">
        <v>798</v>
      </c>
      <c r="E343" s="38" t="s">
        <v>101</v>
      </c>
      <c r="F343" s="51">
        <v>6800</v>
      </c>
      <c r="G343" s="51">
        <v>34.950000000000003</v>
      </c>
      <c r="H343" s="51">
        <f t="shared" si="3"/>
        <v>237660.00000000003</v>
      </c>
    </row>
    <row r="344" spans="1:8" x14ac:dyDescent="0.25">
      <c r="A344" s="38">
        <f>+IF(B344="","",SUBTOTAL(3,$B$7:B344))</f>
        <v>338</v>
      </c>
      <c r="B344" s="40" t="s">
        <v>705</v>
      </c>
      <c r="C344" s="41">
        <v>45819</v>
      </c>
      <c r="D344" s="40" t="s">
        <v>806</v>
      </c>
      <c r="E344" s="38" t="s">
        <v>101</v>
      </c>
      <c r="F344" s="51">
        <v>5000</v>
      </c>
      <c r="G344" s="51">
        <v>19.8</v>
      </c>
      <c r="H344" s="51">
        <f t="shared" si="3"/>
        <v>99000</v>
      </c>
    </row>
    <row r="345" spans="1:8" x14ac:dyDescent="0.25">
      <c r="A345" s="38">
        <f>+IF(B345="","",SUBTOTAL(3,$B$7:B345))</f>
        <v>339</v>
      </c>
      <c r="B345" s="40" t="s">
        <v>705</v>
      </c>
      <c r="C345" s="41">
        <v>45819</v>
      </c>
      <c r="D345" s="40" t="s">
        <v>807</v>
      </c>
      <c r="E345" s="38" t="s">
        <v>101</v>
      </c>
      <c r="F345" s="51">
        <v>15000</v>
      </c>
      <c r="G345" s="51">
        <v>19.8</v>
      </c>
      <c r="H345" s="51">
        <f t="shared" si="3"/>
        <v>297000</v>
      </c>
    </row>
    <row r="346" spans="1:8" x14ac:dyDescent="0.25">
      <c r="A346" s="38">
        <f>+IF(B346="","",SUBTOTAL(3,$B$7:B346))</f>
        <v>340</v>
      </c>
      <c r="B346" s="40" t="s">
        <v>705</v>
      </c>
      <c r="C346" s="41">
        <v>45819</v>
      </c>
      <c r="D346" s="40" t="s">
        <v>808</v>
      </c>
      <c r="E346" s="38" t="s">
        <v>101</v>
      </c>
      <c r="F346" s="51">
        <v>20000</v>
      </c>
      <c r="G346" s="51">
        <v>19.8</v>
      </c>
      <c r="H346" s="51">
        <f t="shared" si="3"/>
        <v>396000</v>
      </c>
    </row>
    <row r="347" spans="1:8" x14ac:dyDescent="0.25">
      <c r="A347" s="38">
        <f>+IF(B347="","",SUBTOTAL(3,$B$7:B347))</f>
        <v>341</v>
      </c>
      <c r="B347" s="40" t="s">
        <v>705</v>
      </c>
      <c r="C347" s="41">
        <v>45819</v>
      </c>
      <c r="D347" s="40" t="s">
        <v>809</v>
      </c>
      <c r="E347" s="38" t="s">
        <v>101</v>
      </c>
      <c r="F347" s="51">
        <v>30000</v>
      </c>
      <c r="G347" s="51">
        <v>19.8</v>
      </c>
      <c r="H347" s="51">
        <f t="shared" si="3"/>
        <v>594000</v>
      </c>
    </row>
    <row r="348" spans="1:8" x14ac:dyDescent="0.25">
      <c r="A348" s="38">
        <f>+IF(B348="","",SUBTOTAL(3,$B$7:B348))</f>
        <v>342</v>
      </c>
      <c r="B348" s="40" t="s">
        <v>705</v>
      </c>
      <c r="C348" s="41">
        <v>45819</v>
      </c>
      <c r="D348" s="40" t="s">
        <v>810</v>
      </c>
      <c r="E348" s="38" t="s">
        <v>101</v>
      </c>
      <c r="F348" s="51">
        <v>20000</v>
      </c>
      <c r="G348" s="51">
        <v>19.8</v>
      </c>
      <c r="H348" s="51">
        <f t="shared" si="3"/>
        <v>396000</v>
      </c>
    </row>
    <row r="349" spans="1:8" x14ac:dyDescent="0.25">
      <c r="A349" s="38">
        <f>+IF(B349="","",SUBTOTAL(3,$B$7:B349))</f>
        <v>343</v>
      </c>
      <c r="B349" s="40" t="s">
        <v>705</v>
      </c>
      <c r="C349" s="41">
        <v>45819</v>
      </c>
      <c r="D349" s="40" t="s">
        <v>811</v>
      </c>
      <c r="E349" s="38" t="s">
        <v>101</v>
      </c>
      <c r="F349" s="51">
        <v>30000</v>
      </c>
      <c r="G349" s="51">
        <v>19.8</v>
      </c>
      <c r="H349" s="51">
        <f t="shared" si="3"/>
        <v>594000</v>
      </c>
    </row>
    <row r="350" spans="1:8" x14ac:dyDescent="0.25">
      <c r="A350" s="38">
        <f>+IF(B350="","",SUBTOTAL(3,$B$7:B350))</f>
        <v>344</v>
      </c>
      <c r="B350" s="40" t="s">
        <v>705</v>
      </c>
      <c r="C350" s="41">
        <v>45819</v>
      </c>
      <c r="D350" s="40" t="s">
        <v>812</v>
      </c>
      <c r="E350" s="38" t="s">
        <v>101</v>
      </c>
      <c r="F350" s="51">
        <v>30000</v>
      </c>
      <c r="G350" s="51">
        <v>19.8</v>
      </c>
      <c r="H350" s="51">
        <f t="shared" si="3"/>
        <v>594000</v>
      </c>
    </row>
    <row r="351" spans="1:8" x14ac:dyDescent="0.25">
      <c r="A351" s="38">
        <f>+IF(B351="","",SUBTOTAL(3,$B$7:B351))</f>
        <v>345</v>
      </c>
      <c r="B351" s="40" t="s">
        <v>705</v>
      </c>
      <c r="C351" s="41">
        <v>45819</v>
      </c>
      <c r="D351" s="40" t="s">
        <v>813</v>
      </c>
      <c r="E351" s="38" t="s">
        <v>101</v>
      </c>
      <c r="F351" s="51">
        <v>10000</v>
      </c>
      <c r="G351" s="51">
        <v>19.8</v>
      </c>
      <c r="H351" s="51">
        <f t="shared" si="3"/>
        <v>198000</v>
      </c>
    </row>
    <row r="352" spans="1:8" ht="30" x14ac:dyDescent="0.25">
      <c r="A352" s="38">
        <f>+IF(B352="","",SUBTOTAL(3,$B$7:B352))</f>
        <v>346</v>
      </c>
      <c r="B352" s="40" t="s">
        <v>462</v>
      </c>
      <c r="C352" s="41">
        <v>45819</v>
      </c>
      <c r="D352" s="40" t="s">
        <v>188</v>
      </c>
      <c r="E352" s="38" t="s">
        <v>101</v>
      </c>
      <c r="F352" s="51">
        <v>2</v>
      </c>
      <c r="G352" s="51">
        <v>36000</v>
      </c>
      <c r="H352" s="51">
        <f t="shared" si="3"/>
        <v>72000</v>
      </c>
    </row>
    <row r="353" spans="1:8" ht="30" x14ac:dyDescent="0.25">
      <c r="A353" s="38">
        <f>+IF(B353="","",SUBTOTAL(3,$B$7:B353))</f>
        <v>347</v>
      </c>
      <c r="B353" s="40" t="s">
        <v>462</v>
      </c>
      <c r="C353" s="41">
        <v>45819</v>
      </c>
      <c r="D353" s="40" t="s">
        <v>736</v>
      </c>
      <c r="E353" s="38" t="s">
        <v>140</v>
      </c>
      <c r="F353" s="51">
        <v>2</v>
      </c>
      <c r="G353" s="51">
        <v>4000</v>
      </c>
      <c r="H353" s="51">
        <f t="shared" si="3"/>
        <v>8000</v>
      </c>
    </row>
    <row r="354" spans="1:8" ht="60" x14ac:dyDescent="0.25">
      <c r="A354" s="38">
        <f>+IF(B354="","",SUBTOTAL(3,$B$7:B354))</f>
        <v>348</v>
      </c>
      <c r="B354" s="40" t="s">
        <v>442</v>
      </c>
      <c r="C354" s="41">
        <v>45820</v>
      </c>
      <c r="D354" s="40" t="s">
        <v>859</v>
      </c>
      <c r="E354" s="38" t="s">
        <v>132</v>
      </c>
      <c r="F354" s="51">
        <v>5</v>
      </c>
      <c r="G354" s="51">
        <v>2150</v>
      </c>
      <c r="H354" s="51">
        <f t="shared" si="3"/>
        <v>10750</v>
      </c>
    </row>
    <row r="355" spans="1:8" x14ac:dyDescent="0.25">
      <c r="A355" s="38">
        <f>+IF(B355="","",SUBTOTAL(3,$B$7:B355))</f>
        <v>349</v>
      </c>
      <c r="B355" s="40" t="s">
        <v>442</v>
      </c>
      <c r="C355" s="41">
        <v>45820</v>
      </c>
      <c r="D355" s="40" t="s">
        <v>143</v>
      </c>
      <c r="E355" s="38" t="s">
        <v>741</v>
      </c>
      <c r="F355" s="51">
        <v>4</v>
      </c>
      <c r="G355" s="51">
        <v>15000</v>
      </c>
      <c r="H355" s="51">
        <f t="shared" si="3"/>
        <v>60000</v>
      </c>
    </row>
    <row r="356" spans="1:8" x14ac:dyDescent="0.25">
      <c r="A356" s="38">
        <f>+IF(B356="","",SUBTOTAL(3,$B$7:B356))</f>
        <v>350</v>
      </c>
      <c r="B356" s="40" t="s">
        <v>717</v>
      </c>
      <c r="C356" s="41">
        <v>45825</v>
      </c>
      <c r="D356" s="40" t="s">
        <v>188</v>
      </c>
      <c r="E356" s="38" t="s">
        <v>101</v>
      </c>
      <c r="F356" s="51">
        <v>1</v>
      </c>
      <c r="G356" s="51">
        <v>36000</v>
      </c>
      <c r="H356" s="51">
        <f t="shared" si="3"/>
        <v>36000</v>
      </c>
    </row>
    <row r="357" spans="1:8" x14ac:dyDescent="0.25">
      <c r="A357" s="38">
        <f>+IF(B357="","",SUBTOTAL(3,$B$7:B357))</f>
        <v>351</v>
      </c>
      <c r="B357" s="40" t="s">
        <v>717</v>
      </c>
      <c r="C357" s="41">
        <v>45825</v>
      </c>
      <c r="D357" s="40" t="s">
        <v>699</v>
      </c>
      <c r="E357" s="38" t="s">
        <v>101</v>
      </c>
      <c r="F357" s="51">
        <v>4</v>
      </c>
      <c r="G357" s="51">
        <v>1111.1099999999999</v>
      </c>
      <c r="H357" s="51">
        <f t="shared" si="3"/>
        <v>4444.4399999999996</v>
      </c>
    </row>
    <row r="358" spans="1:8" x14ac:dyDescent="0.25">
      <c r="A358" s="38">
        <f>+IF(B358="","",SUBTOTAL(3,$B$7:B358))</f>
        <v>352</v>
      </c>
      <c r="B358" s="40" t="s">
        <v>717</v>
      </c>
      <c r="C358" s="41">
        <v>45825</v>
      </c>
      <c r="D358" s="40" t="s">
        <v>736</v>
      </c>
      <c r="E358" s="38" t="s">
        <v>140</v>
      </c>
      <c r="F358" s="51">
        <v>1</v>
      </c>
      <c r="G358" s="51">
        <v>4000</v>
      </c>
      <c r="H358" s="51">
        <f t="shared" si="3"/>
        <v>4000</v>
      </c>
    </row>
    <row r="359" spans="1:8" x14ac:dyDescent="0.25">
      <c r="A359" s="38">
        <f>+IF(B359="","",SUBTOTAL(3,$B$7:B359))</f>
        <v>353</v>
      </c>
      <c r="B359" s="40" t="s">
        <v>751</v>
      </c>
      <c r="C359" s="41">
        <v>45833</v>
      </c>
      <c r="D359" s="40" t="s">
        <v>188</v>
      </c>
      <c r="E359" s="38" t="s">
        <v>101</v>
      </c>
      <c r="F359" s="51">
        <v>1</v>
      </c>
      <c r="G359" s="51">
        <v>36000</v>
      </c>
      <c r="H359" s="51">
        <f t="shared" si="3"/>
        <v>36000</v>
      </c>
    </row>
    <row r="360" spans="1:8" ht="30" x14ac:dyDescent="0.25">
      <c r="A360" s="38">
        <f>+IF(B360="","",SUBTOTAL(3,$B$7:B360))</f>
        <v>354</v>
      </c>
      <c r="B360" s="40" t="s">
        <v>751</v>
      </c>
      <c r="C360" s="41">
        <v>45833</v>
      </c>
      <c r="D360" s="40" t="s">
        <v>814</v>
      </c>
      <c r="E360" s="38" t="s">
        <v>101</v>
      </c>
      <c r="F360" s="51">
        <v>1</v>
      </c>
      <c r="G360" s="51">
        <v>1000</v>
      </c>
      <c r="H360" s="51">
        <f t="shared" si="3"/>
        <v>1000</v>
      </c>
    </row>
    <row r="361" spans="1:8" x14ac:dyDescent="0.25">
      <c r="A361" s="38">
        <f>+IF(B361="","",SUBTOTAL(3,$B$7:B361))</f>
        <v>355</v>
      </c>
      <c r="B361" s="40" t="s">
        <v>751</v>
      </c>
      <c r="C361" s="41">
        <v>45833</v>
      </c>
      <c r="D361" s="40" t="s">
        <v>699</v>
      </c>
      <c r="E361" s="38" t="s">
        <v>101</v>
      </c>
      <c r="F361" s="51">
        <v>1</v>
      </c>
      <c r="G361" s="51">
        <v>1111.1099999999999</v>
      </c>
      <c r="H361" s="51">
        <f t="shared" si="3"/>
        <v>1111.1099999999999</v>
      </c>
    </row>
    <row r="362" spans="1:8" x14ac:dyDescent="0.25">
      <c r="A362" s="38">
        <f>+IF(B362="","",SUBTOTAL(3,$B$7:B362))</f>
        <v>356</v>
      </c>
      <c r="B362" s="40" t="s">
        <v>751</v>
      </c>
      <c r="C362" s="41">
        <v>45833</v>
      </c>
      <c r="D362" s="40" t="s">
        <v>746</v>
      </c>
      <c r="E362" s="38" t="s">
        <v>101</v>
      </c>
      <c r="F362" s="51">
        <v>1</v>
      </c>
      <c r="G362" s="51">
        <v>3000</v>
      </c>
      <c r="H362" s="51">
        <f t="shared" si="3"/>
        <v>3000</v>
      </c>
    </row>
    <row r="363" spans="1:8" x14ac:dyDescent="0.25">
      <c r="A363" s="38">
        <f>+IF(B363="","",SUBTOTAL(3,$B$7:B363))</f>
        <v>357</v>
      </c>
      <c r="B363" s="40" t="s">
        <v>451</v>
      </c>
      <c r="C363" s="41">
        <v>45834</v>
      </c>
      <c r="D363" s="40" t="s">
        <v>188</v>
      </c>
      <c r="E363" s="38" t="s">
        <v>101</v>
      </c>
      <c r="F363" s="51">
        <v>1</v>
      </c>
      <c r="G363" s="51">
        <v>36000</v>
      </c>
      <c r="H363" s="51">
        <f t="shared" si="3"/>
        <v>36000</v>
      </c>
    </row>
    <row r="364" spans="1:8" x14ac:dyDescent="0.25">
      <c r="A364" s="38">
        <f>+IF(B364="","",SUBTOTAL(3,$B$7:B364))</f>
        <v>358</v>
      </c>
      <c r="B364" s="40" t="s">
        <v>451</v>
      </c>
      <c r="C364" s="41">
        <v>45834</v>
      </c>
      <c r="D364" s="40" t="s">
        <v>736</v>
      </c>
      <c r="E364" s="38" t="s">
        <v>140</v>
      </c>
      <c r="F364" s="51">
        <v>4</v>
      </c>
      <c r="G364" s="51">
        <v>4000</v>
      </c>
      <c r="H364" s="51">
        <f t="shared" si="3"/>
        <v>16000</v>
      </c>
    </row>
    <row r="365" spans="1:8" x14ac:dyDescent="0.25">
      <c r="A365" s="38">
        <f>+IF(B365="","",SUBTOTAL(3,$B$7:B365))</f>
        <v>359</v>
      </c>
      <c r="B365" s="40" t="s">
        <v>451</v>
      </c>
      <c r="C365" s="41">
        <v>45834</v>
      </c>
      <c r="D365" s="40" t="s">
        <v>747</v>
      </c>
      <c r="E365" s="38" t="s">
        <v>101</v>
      </c>
      <c r="F365" s="51">
        <v>50</v>
      </c>
      <c r="G365" s="51">
        <v>7400</v>
      </c>
      <c r="H365" s="51">
        <f t="shared" si="3"/>
        <v>370000</v>
      </c>
    </row>
    <row r="366" spans="1:8" ht="45" x14ac:dyDescent="0.25">
      <c r="A366" s="38">
        <f>+IF(B366="","",SUBTOTAL(3,$B$7:B366))</f>
        <v>360</v>
      </c>
      <c r="B366" s="40" t="s">
        <v>737</v>
      </c>
      <c r="C366" s="41">
        <v>45841</v>
      </c>
      <c r="D366" s="40" t="s">
        <v>814</v>
      </c>
      <c r="E366" s="38" t="s">
        <v>101</v>
      </c>
      <c r="F366" s="51">
        <v>5</v>
      </c>
      <c r="G366" s="51">
        <v>1000</v>
      </c>
      <c r="H366" s="51">
        <f t="shared" si="3"/>
        <v>5000</v>
      </c>
    </row>
    <row r="367" spans="1:8" ht="45" x14ac:dyDescent="0.25">
      <c r="A367" s="38">
        <f>+IF(B367="","",SUBTOTAL(3,$B$7:B367))</f>
        <v>361</v>
      </c>
      <c r="B367" s="40" t="s">
        <v>737</v>
      </c>
      <c r="C367" s="41">
        <v>45841</v>
      </c>
      <c r="D367" s="40" t="s">
        <v>208</v>
      </c>
      <c r="E367" s="38" t="s">
        <v>101</v>
      </c>
      <c r="F367" s="51">
        <v>1</v>
      </c>
      <c r="G367" s="51">
        <v>3333.33</v>
      </c>
      <c r="H367" s="51">
        <f t="shared" si="3"/>
        <v>3333.33</v>
      </c>
    </row>
    <row r="368" spans="1:8" ht="45" x14ac:dyDescent="0.25">
      <c r="A368" s="38">
        <f>+IF(B368="","",SUBTOTAL(3,$B$7:B368))</f>
        <v>362</v>
      </c>
      <c r="B368" s="40" t="s">
        <v>737</v>
      </c>
      <c r="C368" s="41">
        <v>45841</v>
      </c>
      <c r="D368" s="40" t="s">
        <v>699</v>
      </c>
      <c r="E368" s="38" t="s">
        <v>101</v>
      </c>
      <c r="F368" s="51">
        <v>5</v>
      </c>
      <c r="G368" s="51">
        <v>1111.1099999999999</v>
      </c>
      <c r="H368" s="51">
        <f t="shared" si="3"/>
        <v>5555.5499999999993</v>
      </c>
    </row>
    <row r="369" spans="1:8" ht="45" x14ac:dyDescent="0.25">
      <c r="A369" s="38">
        <f>+IF(B369="","",SUBTOTAL(3,$B$7:B369))</f>
        <v>363</v>
      </c>
      <c r="B369" s="40" t="s">
        <v>737</v>
      </c>
      <c r="C369" s="41">
        <v>45841</v>
      </c>
      <c r="D369" s="40" t="s">
        <v>188</v>
      </c>
      <c r="E369" s="38" t="s">
        <v>101</v>
      </c>
      <c r="F369" s="51">
        <v>1</v>
      </c>
      <c r="G369" s="51">
        <v>36000</v>
      </c>
      <c r="H369" s="51">
        <f t="shared" si="3"/>
        <v>36000</v>
      </c>
    </row>
    <row r="370" spans="1:8" ht="45" x14ac:dyDescent="0.25">
      <c r="A370" s="38">
        <f>+IF(B370="","",SUBTOTAL(3,$B$7:B370))</f>
        <v>364</v>
      </c>
      <c r="B370" s="40" t="s">
        <v>737</v>
      </c>
      <c r="C370" s="41">
        <v>45841</v>
      </c>
      <c r="D370" s="40" t="s">
        <v>709</v>
      </c>
      <c r="E370" s="38" t="s">
        <v>101</v>
      </c>
      <c r="F370" s="51">
        <v>2</v>
      </c>
      <c r="G370" s="51">
        <v>10000</v>
      </c>
      <c r="H370" s="51">
        <f t="shared" si="3"/>
        <v>20000</v>
      </c>
    </row>
    <row r="371" spans="1:8" x14ac:dyDescent="0.25">
      <c r="A371" s="38">
        <f>+IF(B371="","",SUBTOTAL(3,$B$7:B371))</f>
        <v>365</v>
      </c>
      <c r="B371" s="40" t="s">
        <v>705</v>
      </c>
      <c r="C371" s="41">
        <v>45841</v>
      </c>
      <c r="D371" s="40" t="s">
        <v>699</v>
      </c>
      <c r="E371" s="38" t="s">
        <v>101</v>
      </c>
      <c r="F371" s="51">
        <v>20</v>
      </c>
      <c r="G371" s="51">
        <v>1111.1099999999999</v>
      </c>
      <c r="H371" s="51">
        <f t="shared" si="3"/>
        <v>22222.199999999997</v>
      </c>
    </row>
    <row r="372" spans="1:8" ht="30" x14ac:dyDescent="0.25">
      <c r="A372" s="38">
        <f>+IF(B372="","",SUBTOTAL(3,$B$7:B372))</f>
        <v>366</v>
      </c>
      <c r="B372" s="40" t="s">
        <v>705</v>
      </c>
      <c r="C372" s="41">
        <v>45841</v>
      </c>
      <c r="D372" s="40" t="s">
        <v>725</v>
      </c>
      <c r="E372" s="38" t="s">
        <v>753</v>
      </c>
      <c r="F372" s="51">
        <v>1</v>
      </c>
      <c r="G372" s="51">
        <v>32000</v>
      </c>
      <c r="H372" s="51">
        <f t="shared" si="3"/>
        <v>32000</v>
      </c>
    </row>
    <row r="373" spans="1:8" x14ac:dyDescent="0.25">
      <c r="A373" s="38">
        <f>+IF(B373="","",SUBTOTAL(3,$B$7:B373))</f>
        <v>367</v>
      </c>
      <c r="B373" s="40" t="s">
        <v>705</v>
      </c>
      <c r="C373" s="41">
        <v>45841</v>
      </c>
      <c r="D373" s="40" t="s">
        <v>807</v>
      </c>
      <c r="E373" s="38" t="s">
        <v>101</v>
      </c>
      <c r="F373" s="51">
        <v>10000</v>
      </c>
      <c r="G373" s="51">
        <v>19.8</v>
      </c>
      <c r="H373" s="51">
        <f t="shared" si="3"/>
        <v>198000</v>
      </c>
    </row>
    <row r="374" spans="1:8" x14ac:dyDescent="0.25">
      <c r="A374" s="38">
        <f>+IF(B374="","",SUBTOTAL(3,$B$7:B374))</f>
        <v>368</v>
      </c>
      <c r="B374" s="40" t="s">
        <v>705</v>
      </c>
      <c r="C374" s="41">
        <v>45841</v>
      </c>
      <c r="D374" s="40" t="s">
        <v>808</v>
      </c>
      <c r="E374" s="38" t="s">
        <v>101</v>
      </c>
      <c r="F374" s="51">
        <v>15000</v>
      </c>
      <c r="G374" s="51">
        <v>19.8</v>
      </c>
      <c r="H374" s="51">
        <f t="shared" si="3"/>
        <v>297000</v>
      </c>
    </row>
    <row r="375" spans="1:8" x14ac:dyDescent="0.25">
      <c r="A375" s="38">
        <f>+IF(B375="","",SUBTOTAL(3,$B$7:B375))</f>
        <v>369</v>
      </c>
      <c r="B375" s="40" t="s">
        <v>705</v>
      </c>
      <c r="C375" s="41">
        <v>45841</v>
      </c>
      <c r="D375" s="40" t="s">
        <v>809</v>
      </c>
      <c r="E375" s="38" t="s">
        <v>101</v>
      </c>
      <c r="F375" s="51">
        <v>20000</v>
      </c>
      <c r="G375" s="51">
        <v>19.8</v>
      </c>
      <c r="H375" s="51">
        <f t="shared" si="3"/>
        <v>396000</v>
      </c>
    </row>
    <row r="376" spans="1:8" x14ac:dyDescent="0.25">
      <c r="A376" s="38">
        <f>+IF(B376="","",SUBTOTAL(3,$B$7:B376))</f>
        <v>370</v>
      </c>
      <c r="B376" s="40" t="s">
        <v>705</v>
      </c>
      <c r="C376" s="41">
        <v>45841</v>
      </c>
      <c r="D376" s="40" t="s">
        <v>810</v>
      </c>
      <c r="E376" s="38" t="s">
        <v>101</v>
      </c>
      <c r="F376" s="51">
        <v>10000</v>
      </c>
      <c r="G376" s="51">
        <v>19.8</v>
      </c>
      <c r="H376" s="51">
        <f t="shared" si="3"/>
        <v>198000</v>
      </c>
    </row>
    <row r="377" spans="1:8" x14ac:dyDescent="0.25">
      <c r="A377" s="38">
        <f>+IF(B377="","",SUBTOTAL(3,$B$7:B377))</f>
        <v>371</v>
      </c>
      <c r="B377" s="40" t="s">
        <v>705</v>
      </c>
      <c r="C377" s="41">
        <v>45841</v>
      </c>
      <c r="D377" s="40" t="s">
        <v>811</v>
      </c>
      <c r="E377" s="38" t="s">
        <v>101</v>
      </c>
      <c r="F377" s="51">
        <v>30000</v>
      </c>
      <c r="G377" s="51">
        <v>19.8</v>
      </c>
      <c r="H377" s="51">
        <f t="shared" si="3"/>
        <v>594000</v>
      </c>
    </row>
    <row r="378" spans="1:8" x14ac:dyDescent="0.25">
      <c r="A378" s="38">
        <f>+IF(B378="","",SUBTOTAL(3,$B$7:B378))</f>
        <v>372</v>
      </c>
      <c r="B378" s="40" t="s">
        <v>705</v>
      </c>
      <c r="C378" s="41">
        <v>45841</v>
      </c>
      <c r="D378" s="40" t="s">
        <v>812</v>
      </c>
      <c r="E378" s="38" t="s">
        <v>101</v>
      </c>
      <c r="F378" s="51">
        <v>30000</v>
      </c>
      <c r="G378" s="51">
        <v>19.8</v>
      </c>
      <c r="H378" s="51">
        <f t="shared" si="3"/>
        <v>594000</v>
      </c>
    </row>
    <row r="379" spans="1:8" x14ac:dyDescent="0.25">
      <c r="A379" s="38">
        <f>+IF(B379="","",SUBTOTAL(3,$B$7:B379))</f>
        <v>373</v>
      </c>
      <c r="B379" s="40" t="s">
        <v>705</v>
      </c>
      <c r="C379" s="41">
        <v>45841</v>
      </c>
      <c r="D379" s="40" t="s">
        <v>813</v>
      </c>
      <c r="E379" s="38" t="s">
        <v>101</v>
      </c>
      <c r="F379" s="51">
        <v>20000</v>
      </c>
      <c r="G379" s="51">
        <v>19.8</v>
      </c>
      <c r="H379" s="51">
        <f t="shared" si="3"/>
        <v>396000</v>
      </c>
    </row>
    <row r="380" spans="1:8" x14ac:dyDescent="0.25">
      <c r="A380" s="38">
        <f>+IF(B380="","",SUBTOTAL(3,$B$7:B380))</f>
        <v>374</v>
      </c>
      <c r="B380" s="40" t="s">
        <v>705</v>
      </c>
      <c r="C380" s="41">
        <v>45841</v>
      </c>
      <c r="D380" s="40" t="s">
        <v>100</v>
      </c>
      <c r="E380" s="38" t="s">
        <v>101</v>
      </c>
      <c r="F380" s="51">
        <v>10000</v>
      </c>
      <c r="G380" s="51">
        <v>140</v>
      </c>
      <c r="H380" s="51">
        <f t="shared" si="3"/>
        <v>1400000</v>
      </c>
    </row>
    <row r="381" spans="1:8" x14ac:dyDescent="0.25">
      <c r="A381" s="38">
        <f>+IF(B381="","",SUBTOTAL(3,$B$7:B381))</f>
        <v>375</v>
      </c>
      <c r="B381" s="40" t="s">
        <v>705</v>
      </c>
      <c r="C381" s="41">
        <v>45841</v>
      </c>
      <c r="D381" s="40" t="s">
        <v>229</v>
      </c>
      <c r="E381" s="38" t="s">
        <v>741</v>
      </c>
      <c r="F381" s="51">
        <v>25</v>
      </c>
      <c r="G381" s="51">
        <v>26500</v>
      </c>
      <c r="H381" s="51">
        <f t="shared" si="3"/>
        <v>662500</v>
      </c>
    </row>
    <row r="382" spans="1:8" ht="30" x14ac:dyDescent="0.25">
      <c r="A382" s="38">
        <f>+IF(B382="","",SUBTOTAL(3,$B$7:B382))</f>
        <v>376</v>
      </c>
      <c r="B382" s="40" t="s">
        <v>705</v>
      </c>
      <c r="C382" s="41">
        <v>45841</v>
      </c>
      <c r="D382" s="40" t="s">
        <v>727</v>
      </c>
      <c r="E382" s="38" t="s">
        <v>101</v>
      </c>
      <c r="F382" s="51">
        <v>4</v>
      </c>
      <c r="G382" s="51">
        <v>4800</v>
      </c>
      <c r="H382" s="51">
        <f t="shared" si="3"/>
        <v>19200</v>
      </c>
    </row>
    <row r="383" spans="1:8" x14ac:dyDescent="0.25">
      <c r="A383" s="38">
        <f>+IF(B383="","",SUBTOTAL(3,$B$7:B383))</f>
        <v>377</v>
      </c>
      <c r="B383" s="40" t="s">
        <v>705</v>
      </c>
      <c r="C383" s="41">
        <v>45841</v>
      </c>
      <c r="D383" s="40" t="s">
        <v>706</v>
      </c>
      <c r="E383" s="38" t="s">
        <v>707</v>
      </c>
      <c r="F383" s="51">
        <v>10</v>
      </c>
      <c r="G383" s="51">
        <v>9900</v>
      </c>
      <c r="H383" s="51">
        <f t="shared" si="3"/>
        <v>99000</v>
      </c>
    </row>
    <row r="384" spans="1:8" x14ac:dyDescent="0.25">
      <c r="A384" s="38">
        <f>+IF(B384="","",SUBTOTAL(3,$B$7:B384))</f>
        <v>378</v>
      </c>
      <c r="B384" s="40" t="s">
        <v>705</v>
      </c>
      <c r="C384" s="41">
        <v>45841</v>
      </c>
      <c r="D384" s="40" t="s">
        <v>815</v>
      </c>
      <c r="E384" s="38" t="s">
        <v>101</v>
      </c>
      <c r="F384" s="51">
        <v>1</v>
      </c>
      <c r="G384" s="51">
        <v>24500</v>
      </c>
      <c r="H384" s="51">
        <f t="shared" si="3"/>
        <v>24500</v>
      </c>
    </row>
    <row r="385" spans="1:8" x14ac:dyDescent="0.25">
      <c r="A385" s="38">
        <f>+IF(B385="","",SUBTOTAL(3,$B$7:B385))</f>
        <v>379</v>
      </c>
      <c r="B385" s="40" t="s">
        <v>705</v>
      </c>
      <c r="C385" s="41">
        <v>45841</v>
      </c>
      <c r="D385" s="40" t="s">
        <v>816</v>
      </c>
      <c r="E385" s="38" t="s">
        <v>101</v>
      </c>
      <c r="F385" s="51">
        <v>1</v>
      </c>
      <c r="G385" s="51">
        <v>18000</v>
      </c>
      <c r="H385" s="51">
        <f t="shared" si="3"/>
        <v>18000</v>
      </c>
    </row>
    <row r="386" spans="1:8" x14ac:dyDescent="0.25">
      <c r="A386" s="38">
        <f>+IF(B386="","",SUBTOTAL(3,$B$7:B386))</f>
        <v>380</v>
      </c>
      <c r="B386" s="40" t="s">
        <v>705</v>
      </c>
      <c r="C386" s="41">
        <v>45841</v>
      </c>
      <c r="D386" s="40" t="s">
        <v>760</v>
      </c>
      <c r="E386" s="38" t="s">
        <v>101</v>
      </c>
      <c r="F386" s="51">
        <v>2</v>
      </c>
      <c r="G386" s="51">
        <v>29888</v>
      </c>
      <c r="H386" s="51">
        <f t="shared" si="3"/>
        <v>59776</v>
      </c>
    </row>
    <row r="387" spans="1:8" x14ac:dyDescent="0.25">
      <c r="A387" s="38">
        <f>+IF(B387="","",SUBTOTAL(3,$B$7:B387))</f>
        <v>381</v>
      </c>
      <c r="B387" s="40" t="s">
        <v>442</v>
      </c>
      <c r="C387" s="41">
        <v>45842</v>
      </c>
      <c r="D387" s="40" t="s">
        <v>188</v>
      </c>
      <c r="E387" s="38" t="s">
        <v>101</v>
      </c>
      <c r="F387" s="51">
        <v>1</v>
      </c>
      <c r="G387" s="51">
        <v>36000</v>
      </c>
      <c r="H387" s="51">
        <f t="shared" si="3"/>
        <v>36000</v>
      </c>
    </row>
    <row r="388" spans="1:8" ht="30" x14ac:dyDescent="0.25">
      <c r="A388" s="38">
        <f>+IF(B388="","",SUBTOTAL(3,$B$7:B388))</f>
        <v>382</v>
      </c>
      <c r="B388" s="40" t="s">
        <v>442</v>
      </c>
      <c r="C388" s="41">
        <v>45842</v>
      </c>
      <c r="D388" s="40" t="s">
        <v>863</v>
      </c>
      <c r="E388" s="38" t="s">
        <v>753</v>
      </c>
      <c r="F388" s="51">
        <v>2</v>
      </c>
      <c r="G388" s="51">
        <v>7896</v>
      </c>
      <c r="H388" s="51">
        <f t="shared" si="3"/>
        <v>15792</v>
      </c>
    </row>
    <row r="389" spans="1:8" x14ac:dyDescent="0.25">
      <c r="A389" s="38">
        <f>+IF(B389="","",SUBTOTAL(3,$B$7:B389))</f>
        <v>383</v>
      </c>
      <c r="B389" s="40" t="s">
        <v>442</v>
      </c>
      <c r="C389" s="41">
        <v>45842</v>
      </c>
      <c r="D389" s="40" t="s">
        <v>730</v>
      </c>
      <c r="E389" s="38" t="s">
        <v>101</v>
      </c>
      <c r="F389" s="51">
        <v>2</v>
      </c>
      <c r="G389" s="51">
        <v>23000</v>
      </c>
      <c r="H389" s="51">
        <f t="shared" si="3"/>
        <v>46000</v>
      </c>
    </row>
    <row r="390" spans="1:8" x14ac:dyDescent="0.25">
      <c r="A390" s="38">
        <f>+IF(B390="","",SUBTOTAL(3,$B$7:B390))</f>
        <v>384</v>
      </c>
      <c r="B390" s="40" t="s">
        <v>442</v>
      </c>
      <c r="C390" s="41">
        <v>45842</v>
      </c>
      <c r="D390" s="40" t="s">
        <v>715</v>
      </c>
      <c r="E390" s="38" t="s">
        <v>140</v>
      </c>
      <c r="F390" s="51">
        <v>6</v>
      </c>
      <c r="G390" s="51">
        <v>19500</v>
      </c>
      <c r="H390" s="51">
        <f t="shared" si="3"/>
        <v>117000</v>
      </c>
    </row>
    <row r="391" spans="1:8" x14ac:dyDescent="0.25">
      <c r="A391" s="38">
        <f>+IF(B391="","",SUBTOTAL(3,$B$7:B391))</f>
        <v>385</v>
      </c>
      <c r="B391" s="40" t="s">
        <v>442</v>
      </c>
      <c r="C391" s="41">
        <v>45842</v>
      </c>
      <c r="D391" s="40" t="s">
        <v>754</v>
      </c>
      <c r="E391" s="38" t="s">
        <v>101</v>
      </c>
      <c r="F391" s="51">
        <v>4</v>
      </c>
      <c r="G391" s="51">
        <v>4400</v>
      </c>
      <c r="H391" s="51">
        <f t="shared" si="3"/>
        <v>17600</v>
      </c>
    </row>
    <row r="392" spans="1:8" ht="30" x14ac:dyDescent="0.25">
      <c r="A392" s="38">
        <f>+IF(B392="","",SUBTOTAL(3,$B$7:B392))</f>
        <v>386</v>
      </c>
      <c r="B392" s="40" t="s">
        <v>442</v>
      </c>
      <c r="C392" s="41">
        <v>45842</v>
      </c>
      <c r="D392" s="40" t="s">
        <v>727</v>
      </c>
      <c r="E392" s="38" t="s">
        <v>101</v>
      </c>
      <c r="F392" s="51">
        <v>8</v>
      </c>
      <c r="G392" s="51">
        <v>4800</v>
      </c>
      <c r="H392" s="51">
        <f t="shared" si="3"/>
        <v>38400</v>
      </c>
    </row>
    <row r="393" spans="1:8" ht="30" x14ac:dyDescent="0.25">
      <c r="A393" s="38">
        <f>+IF(B393="","",SUBTOTAL(3,$B$7:B393))</f>
        <v>387</v>
      </c>
      <c r="B393" s="40" t="s">
        <v>442</v>
      </c>
      <c r="C393" s="41">
        <v>45842</v>
      </c>
      <c r="D393" s="40" t="s">
        <v>866</v>
      </c>
      <c r="E393" s="38" t="s">
        <v>101</v>
      </c>
      <c r="F393" s="51">
        <v>2</v>
      </c>
      <c r="G393" s="51">
        <v>8092</v>
      </c>
      <c r="H393" s="51">
        <f t="shared" si="3"/>
        <v>16184</v>
      </c>
    </row>
    <row r="394" spans="1:8" x14ac:dyDescent="0.25">
      <c r="A394" s="38">
        <f>+IF(B394="","",SUBTOTAL(3,$B$7:B394))</f>
        <v>388</v>
      </c>
      <c r="B394" s="40" t="s">
        <v>442</v>
      </c>
      <c r="C394" s="41">
        <v>45842</v>
      </c>
      <c r="D394" s="40" t="s">
        <v>714</v>
      </c>
      <c r="E394" s="38" t="s">
        <v>101</v>
      </c>
      <c r="F394" s="51">
        <v>1</v>
      </c>
      <c r="G394" s="51">
        <v>20000</v>
      </c>
      <c r="H394" s="51">
        <f t="shared" ref="H394:H457" si="4">+SUM(F394*G394)</f>
        <v>20000</v>
      </c>
    </row>
    <row r="395" spans="1:8" x14ac:dyDescent="0.25">
      <c r="A395" s="38">
        <f>+IF(B395="","",SUBTOTAL(3,$B$7:B395))</f>
        <v>389</v>
      </c>
      <c r="B395" s="40" t="s">
        <v>442</v>
      </c>
      <c r="C395" s="41">
        <v>45842</v>
      </c>
      <c r="D395" s="40" t="s">
        <v>143</v>
      </c>
      <c r="E395" s="38" t="s">
        <v>741</v>
      </c>
      <c r="F395" s="51">
        <v>4</v>
      </c>
      <c r="G395" s="51">
        <v>15000</v>
      </c>
      <c r="H395" s="51">
        <f t="shared" si="4"/>
        <v>60000</v>
      </c>
    </row>
    <row r="396" spans="1:8" x14ac:dyDescent="0.25">
      <c r="A396" s="38">
        <f>+IF(B396="","",SUBTOTAL(3,$B$7:B396))</f>
        <v>390</v>
      </c>
      <c r="B396" s="40" t="s">
        <v>442</v>
      </c>
      <c r="C396" s="41">
        <v>45842</v>
      </c>
      <c r="D396" s="40" t="s">
        <v>732</v>
      </c>
      <c r="E396" s="38" t="s">
        <v>132</v>
      </c>
      <c r="F396" s="51">
        <v>4</v>
      </c>
      <c r="G396" s="51">
        <v>5454</v>
      </c>
      <c r="H396" s="51">
        <f t="shared" si="4"/>
        <v>21816</v>
      </c>
    </row>
    <row r="397" spans="1:8" ht="30" x14ac:dyDescent="0.25">
      <c r="A397" s="38">
        <f>+IF(B397="","",SUBTOTAL(3,$B$7:B397))</f>
        <v>391</v>
      </c>
      <c r="B397" s="40" t="s">
        <v>442</v>
      </c>
      <c r="C397" s="41">
        <v>45842</v>
      </c>
      <c r="D397" s="40" t="s">
        <v>803</v>
      </c>
      <c r="E397" s="38" t="s">
        <v>101</v>
      </c>
      <c r="F397" s="51">
        <v>1</v>
      </c>
      <c r="G397" s="51">
        <v>8589</v>
      </c>
      <c r="H397" s="51">
        <f t="shared" si="4"/>
        <v>8589</v>
      </c>
    </row>
    <row r="398" spans="1:8" x14ac:dyDescent="0.25">
      <c r="A398" s="38">
        <f>+IF(B398="","",SUBTOTAL(3,$B$7:B398))</f>
        <v>392</v>
      </c>
      <c r="B398" s="40" t="s">
        <v>442</v>
      </c>
      <c r="C398" s="41">
        <v>45842</v>
      </c>
      <c r="D398" s="40" t="s">
        <v>712</v>
      </c>
      <c r="E398" s="38" t="s">
        <v>101</v>
      </c>
      <c r="F398" s="51">
        <v>10</v>
      </c>
      <c r="G398" s="51">
        <v>8800</v>
      </c>
      <c r="H398" s="51">
        <f t="shared" si="4"/>
        <v>88000</v>
      </c>
    </row>
    <row r="399" spans="1:8" ht="30" x14ac:dyDescent="0.25">
      <c r="A399" s="38">
        <f>+IF(B399="","",SUBTOTAL(3,$B$7:B399))</f>
        <v>393</v>
      </c>
      <c r="B399" s="40" t="s">
        <v>442</v>
      </c>
      <c r="C399" s="41">
        <v>45842</v>
      </c>
      <c r="D399" s="40" t="s">
        <v>733</v>
      </c>
      <c r="E399" s="38" t="s">
        <v>101</v>
      </c>
      <c r="F399" s="51">
        <v>8</v>
      </c>
      <c r="G399" s="51">
        <v>6250</v>
      </c>
      <c r="H399" s="51">
        <f t="shared" si="4"/>
        <v>50000</v>
      </c>
    </row>
    <row r="400" spans="1:8" x14ac:dyDescent="0.25">
      <c r="A400" s="38">
        <f>+IF(B400="","",SUBTOTAL(3,$B$7:B400))</f>
        <v>394</v>
      </c>
      <c r="B400" s="40" t="s">
        <v>442</v>
      </c>
      <c r="C400" s="41">
        <v>45842</v>
      </c>
      <c r="D400" s="40" t="s">
        <v>729</v>
      </c>
      <c r="E400" s="38" t="s">
        <v>101</v>
      </c>
      <c r="F400" s="51">
        <v>1</v>
      </c>
      <c r="G400" s="51">
        <v>55000</v>
      </c>
      <c r="H400" s="51">
        <f t="shared" si="4"/>
        <v>55000</v>
      </c>
    </row>
    <row r="401" spans="1:8" ht="60" x14ac:dyDescent="0.25">
      <c r="A401" s="38">
        <f>+IF(B401="","",SUBTOTAL(3,$B$7:B401))</f>
        <v>395</v>
      </c>
      <c r="B401" s="40" t="s">
        <v>484</v>
      </c>
      <c r="C401" s="41">
        <v>45842</v>
      </c>
      <c r="D401" s="40" t="s">
        <v>736</v>
      </c>
      <c r="E401" s="38" t="s">
        <v>140</v>
      </c>
      <c r="F401" s="51">
        <v>2</v>
      </c>
      <c r="G401" s="51">
        <v>4000</v>
      </c>
      <c r="H401" s="51">
        <f t="shared" si="4"/>
        <v>8000</v>
      </c>
    </row>
    <row r="402" spans="1:8" ht="60" x14ac:dyDescent="0.25">
      <c r="A402" s="38">
        <f>+IF(B402="","",SUBTOTAL(3,$B$7:B402))</f>
        <v>396</v>
      </c>
      <c r="B402" s="40" t="s">
        <v>484</v>
      </c>
      <c r="C402" s="41">
        <v>45842</v>
      </c>
      <c r="D402" s="40" t="s">
        <v>188</v>
      </c>
      <c r="E402" s="38" t="s">
        <v>101</v>
      </c>
      <c r="F402" s="51">
        <v>1</v>
      </c>
      <c r="G402" s="51">
        <v>36000</v>
      </c>
      <c r="H402" s="51">
        <f t="shared" si="4"/>
        <v>36000</v>
      </c>
    </row>
    <row r="403" spans="1:8" ht="60" x14ac:dyDescent="0.25">
      <c r="A403" s="38">
        <f>+IF(B403="","",SUBTOTAL(3,$B$7:B403))</f>
        <v>397</v>
      </c>
      <c r="B403" s="40" t="s">
        <v>484</v>
      </c>
      <c r="C403" s="41">
        <v>45842</v>
      </c>
      <c r="D403" s="40" t="s">
        <v>699</v>
      </c>
      <c r="E403" s="38" t="s">
        <v>101</v>
      </c>
      <c r="F403" s="51">
        <v>6</v>
      </c>
      <c r="G403" s="51">
        <v>1111.1099999999999</v>
      </c>
      <c r="H403" s="51">
        <f t="shared" si="4"/>
        <v>6666.66</v>
      </c>
    </row>
    <row r="404" spans="1:8" x14ac:dyDescent="0.25">
      <c r="A404" s="38">
        <f>+IF(B404="","",SUBTOTAL(3,$B$7:B404))</f>
        <v>398</v>
      </c>
      <c r="B404" s="40" t="s">
        <v>698</v>
      </c>
      <c r="C404" s="41">
        <v>45845</v>
      </c>
      <c r="D404" s="40" t="s">
        <v>188</v>
      </c>
      <c r="E404" s="38" t="s">
        <v>101</v>
      </c>
      <c r="F404" s="51">
        <v>1</v>
      </c>
      <c r="G404" s="51">
        <v>36000</v>
      </c>
      <c r="H404" s="51">
        <f t="shared" si="4"/>
        <v>36000</v>
      </c>
    </row>
    <row r="405" spans="1:8" x14ac:dyDescent="0.25">
      <c r="A405" s="38">
        <f>+IF(B405="","",SUBTOTAL(3,$B$7:B405))</f>
        <v>399</v>
      </c>
      <c r="B405" s="40" t="s">
        <v>698</v>
      </c>
      <c r="C405" s="41">
        <v>45845</v>
      </c>
      <c r="D405" s="40" t="s">
        <v>699</v>
      </c>
      <c r="E405" s="38" t="s">
        <v>101</v>
      </c>
      <c r="F405" s="51">
        <v>4</v>
      </c>
      <c r="G405" s="51">
        <v>1111.1099999999999</v>
      </c>
      <c r="H405" s="51">
        <f t="shared" si="4"/>
        <v>4444.4399999999996</v>
      </c>
    </row>
    <row r="406" spans="1:8" x14ac:dyDescent="0.25">
      <c r="A406" s="38">
        <f>+IF(B406="","",SUBTOTAL(3,$B$7:B406))</f>
        <v>400</v>
      </c>
      <c r="B406" s="40" t="s">
        <v>698</v>
      </c>
      <c r="C406" s="41">
        <v>45845</v>
      </c>
      <c r="D406" s="40" t="s">
        <v>736</v>
      </c>
      <c r="E406" s="38" t="s">
        <v>140</v>
      </c>
      <c r="F406" s="51">
        <v>2</v>
      </c>
      <c r="G406" s="51">
        <v>4000</v>
      </c>
      <c r="H406" s="51">
        <f t="shared" si="4"/>
        <v>8000</v>
      </c>
    </row>
    <row r="407" spans="1:8" ht="30" x14ac:dyDescent="0.25">
      <c r="A407" s="38">
        <f>+IF(B407="","",SUBTOTAL(3,$B$7:B407))</f>
        <v>401</v>
      </c>
      <c r="B407" s="40" t="s">
        <v>698</v>
      </c>
      <c r="C407" s="41">
        <v>45845</v>
      </c>
      <c r="D407" s="40" t="s">
        <v>701</v>
      </c>
      <c r="E407" s="38" t="s">
        <v>101</v>
      </c>
      <c r="F407" s="51">
        <v>2</v>
      </c>
      <c r="G407" s="51">
        <v>19600</v>
      </c>
      <c r="H407" s="51">
        <f t="shared" si="4"/>
        <v>39200</v>
      </c>
    </row>
    <row r="408" spans="1:8" x14ac:dyDescent="0.25">
      <c r="A408" s="38">
        <f>+IF(B408="","",SUBTOTAL(3,$B$7:B408))</f>
        <v>402</v>
      </c>
      <c r="B408" s="40" t="s">
        <v>698</v>
      </c>
      <c r="C408" s="41">
        <v>45845</v>
      </c>
      <c r="D408" s="40" t="s">
        <v>765</v>
      </c>
      <c r="E408" s="38" t="s">
        <v>741</v>
      </c>
      <c r="F408" s="51">
        <v>3</v>
      </c>
      <c r="G408" s="51">
        <v>34000</v>
      </c>
      <c r="H408" s="51">
        <f t="shared" si="4"/>
        <v>102000</v>
      </c>
    </row>
    <row r="409" spans="1:8" ht="45" x14ac:dyDescent="0.25">
      <c r="A409" s="38">
        <f>+IF(B409="","",SUBTOTAL(3,$B$7:B409))</f>
        <v>403</v>
      </c>
      <c r="B409" s="40" t="s">
        <v>457</v>
      </c>
      <c r="C409" s="41">
        <v>45846</v>
      </c>
      <c r="D409" s="40" t="s">
        <v>699</v>
      </c>
      <c r="E409" s="38" t="s">
        <v>101</v>
      </c>
      <c r="F409" s="51">
        <v>2</v>
      </c>
      <c r="G409" s="51">
        <v>1111.1099999999999</v>
      </c>
      <c r="H409" s="51">
        <f t="shared" si="4"/>
        <v>2222.2199999999998</v>
      </c>
    </row>
    <row r="410" spans="1:8" ht="45" x14ac:dyDescent="0.25">
      <c r="A410" s="38">
        <f>+IF(B410="","",SUBTOTAL(3,$B$7:B410))</f>
        <v>404</v>
      </c>
      <c r="B410" s="40" t="s">
        <v>457</v>
      </c>
      <c r="C410" s="41">
        <v>45846</v>
      </c>
      <c r="D410" s="40" t="s">
        <v>188</v>
      </c>
      <c r="E410" s="38" t="s">
        <v>101</v>
      </c>
      <c r="F410" s="51">
        <v>1</v>
      </c>
      <c r="G410" s="51">
        <v>36000</v>
      </c>
      <c r="H410" s="51">
        <f t="shared" si="4"/>
        <v>36000</v>
      </c>
    </row>
    <row r="411" spans="1:8" ht="45" x14ac:dyDescent="0.25">
      <c r="A411" s="38">
        <f>+IF(B411="","",SUBTOTAL(3,$B$7:B411))</f>
        <v>405</v>
      </c>
      <c r="B411" s="40" t="s">
        <v>457</v>
      </c>
      <c r="C411" s="41">
        <v>45846</v>
      </c>
      <c r="D411" s="40" t="s">
        <v>814</v>
      </c>
      <c r="E411" s="38" t="s">
        <v>101</v>
      </c>
      <c r="F411" s="51">
        <v>2</v>
      </c>
      <c r="G411" s="51">
        <v>1000</v>
      </c>
      <c r="H411" s="51">
        <f t="shared" si="4"/>
        <v>2000</v>
      </c>
    </row>
    <row r="412" spans="1:8" ht="60" x14ac:dyDescent="0.25">
      <c r="A412" s="38">
        <f>+IF(B412="","",SUBTOTAL(3,$B$7:B412))</f>
        <v>406</v>
      </c>
      <c r="B412" s="40" t="s">
        <v>799</v>
      </c>
      <c r="C412" s="41">
        <v>45848</v>
      </c>
      <c r="D412" s="40" t="s">
        <v>188</v>
      </c>
      <c r="E412" s="38" t="s">
        <v>101</v>
      </c>
      <c r="F412" s="51">
        <v>1</v>
      </c>
      <c r="G412" s="51">
        <v>36000</v>
      </c>
      <c r="H412" s="51">
        <f t="shared" si="4"/>
        <v>36000</v>
      </c>
    </row>
    <row r="413" spans="1:8" x14ac:dyDescent="0.25">
      <c r="A413" s="38">
        <f>+IF(B413="","",SUBTOTAL(3,$B$7:B413))</f>
        <v>407</v>
      </c>
      <c r="B413" s="40" t="s">
        <v>442</v>
      </c>
      <c r="C413" s="41">
        <v>45853</v>
      </c>
      <c r="D413" s="40" t="s">
        <v>188</v>
      </c>
      <c r="E413" s="38" t="s">
        <v>101</v>
      </c>
      <c r="F413" s="51">
        <v>1</v>
      </c>
      <c r="G413" s="51">
        <v>36000</v>
      </c>
      <c r="H413" s="51">
        <f t="shared" si="4"/>
        <v>36000</v>
      </c>
    </row>
    <row r="414" spans="1:8" ht="30" x14ac:dyDescent="0.25">
      <c r="A414" s="38">
        <f>+IF(B414="","",SUBTOTAL(3,$B$7:B414))</f>
        <v>408</v>
      </c>
      <c r="B414" s="40" t="s">
        <v>710</v>
      </c>
      <c r="C414" s="41">
        <v>45853</v>
      </c>
      <c r="D414" s="40" t="s">
        <v>863</v>
      </c>
      <c r="E414" s="38" t="s">
        <v>753</v>
      </c>
      <c r="F414" s="51">
        <v>2</v>
      </c>
      <c r="G414" s="51">
        <v>7896</v>
      </c>
      <c r="H414" s="51">
        <f t="shared" si="4"/>
        <v>15792</v>
      </c>
    </row>
    <row r="415" spans="1:8" ht="60" x14ac:dyDescent="0.25">
      <c r="A415" s="38">
        <f>+IF(B415="","",SUBTOTAL(3,$B$7:B415))</f>
        <v>409</v>
      </c>
      <c r="B415" s="40" t="s">
        <v>442</v>
      </c>
      <c r="C415" s="41">
        <v>45853</v>
      </c>
      <c r="D415" s="40" t="s">
        <v>859</v>
      </c>
      <c r="E415" s="38" t="s">
        <v>132</v>
      </c>
      <c r="F415" s="51">
        <v>5</v>
      </c>
      <c r="G415" s="51">
        <v>2150</v>
      </c>
      <c r="H415" s="51">
        <f t="shared" si="4"/>
        <v>10750</v>
      </c>
    </row>
    <row r="416" spans="1:8" x14ac:dyDescent="0.25">
      <c r="A416" s="38">
        <f>+IF(B416="","",SUBTOTAL(3,$B$7:B416))</f>
        <v>410</v>
      </c>
      <c r="B416" s="40" t="s">
        <v>442</v>
      </c>
      <c r="C416" s="41">
        <v>45853</v>
      </c>
      <c r="D416" s="40" t="s">
        <v>712</v>
      </c>
      <c r="E416" s="38" t="s">
        <v>101</v>
      </c>
      <c r="F416" s="51">
        <v>5</v>
      </c>
      <c r="G416" s="51">
        <v>8800</v>
      </c>
      <c r="H416" s="51">
        <f t="shared" si="4"/>
        <v>44000</v>
      </c>
    </row>
    <row r="417" spans="1:8" x14ac:dyDescent="0.25">
      <c r="A417" s="38">
        <f>+IF(B417="","",SUBTOTAL(3,$B$7:B417))</f>
        <v>411</v>
      </c>
      <c r="B417" s="40" t="s">
        <v>451</v>
      </c>
      <c r="C417" s="41">
        <v>45856</v>
      </c>
      <c r="D417" s="40" t="s">
        <v>188</v>
      </c>
      <c r="E417" s="38" t="s">
        <v>101</v>
      </c>
      <c r="F417" s="51">
        <v>1</v>
      </c>
      <c r="G417" s="51">
        <v>36000</v>
      </c>
      <c r="H417" s="51">
        <f t="shared" si="4"/>
        <v>36000</v>
      </c>
    </row>
    <row r="418" spans="1:8" x14ac:dyDescent="0.25">
      <c r="A418" s="38">
        <f>+IF(B418="","",SUBTOTAL(3,$B$7:B418))</f>
        <v>412</v>
      </c>
      <c r="B418" s="40" t="s">
        <v>451</v>
      </c>
      <c r="C418" s="41">
        <v>45856</v>
      </c>
      <c r="D418" s="40" t="s">
        <v>772</v>
      </c>
      <c r="E418" s="38" t="s">
        <v>101</v>
      </c>
      <c r="F418" s="51">
        <v>400</v>
      </c>
      <c r="G418" s="51">
        <v>1904</v>
      </c>
      <c r="H418" s="51">
        <f t="shared" si="4"/>
        <v>761600</v>
      </c>
    </row>
    <row r="419" spans="1:8" x14ac:dyDescent="0.25">
      <c r="A419" s="38">
        <f>+IF(B419="","",SUBTOTAL(3,$B$7:B419))</f>
        <v>413</v>
      </c>
      <c r="B419" s="40" t="s">
        <v>710</v>
      </c>
      <c r="C419" s="41">
        <v>45866</v>
      </c>
      <c r="D419" s="40" t="s">
        <v>711</v>
      </c>
      <c r="E419" s="38" t="s">
        <v>101</v>
      </c>
      <c r="F419" s="51">
        <v>4</v>
      </c>
      <c r="G419" s="51">
        <v>13668</v>
      </c>
      <c r="H419" s="51">
        <f t="shared" si="4"/>
        <v>54672</v>
      </c>
    </row>
    <row r="420" spans="1:8" ht="30" x14ac:dyDescent="0.25">
      <c r="A420" s="38">
        <f>+IF(B420="","",SUBTOTAL(3,$B$7:B420))</f>
        <v>414</v>
      </c>
      <c r="B420" s="40" t="s">
        <v>710</v>
      </c>
      <c r="C420" s="41">
        <v>45866</v>
      </c>
      <c r="D420" s="40" t="s">
        <v>863</v>
      </c>
      <c r="E420" s="38" t="s">
        <v>753</v>
      </c>
      <c r="F420" s="51">
        <v>2</v>
      </c>
      <c r="G420" s="51">
        <v>7896</v>
      </c>
      <c r="H420" s="51">
        <f t="shared" si="4"/>
        <v>15792</v>
      </c>
    </row>
    <row r="421" spans="1:8" x14ac:dyDescent="0.25">
      <c r="A421" s="38">
        <f>+IF(B421="","",SUBTOTAL(3,$B$7:B421))</f>
        <v>415</v>
      </c>
      <c r="B421" s="40" t="s">
        <v>442</v>
      </c>
      <c r="C421" s="41">
        <v>45866</v>
      </c>
      <c r="D421" s="40" t="s">
        <v>715</v>
      </c>
      <c r="E421" s="38" t="s">
        <v>140</v>
      </c>
      <c r="F421" s="51">
        <v>5</v>
      </c>
      <c r="G421" s="51">
        <v>19500</v>
      </c>
      <c r="H421" s="51">
        <f t="shared" si="4"/>
        <v>97500</v>
      </c>
    </row>
    <row r="422" spans="1:8" x14ac:dyDescent="0.25">
      <c r="A422" s="38">
        <f>+IF(B422="","",SUBTOTAL(3,$B$7:B422))</f>
        <v>416</v>
      </c>
      <c r="B422" s="40" t="s">
        <v>442</v>
      </c>
      <c r="C422" s="41">
        <v>45866</v>
      </c>
      <c r="D422" s="40" t="s">
        <v>712</v>
      </c>
      <c r="E422" s="38" t="s">
        <v>101</v>
      </c>
      <c r="F422" s="51">
        <v>5</v>
      </c>
      <c r="G422" s="51">
        <v>8800</v>
      </c>
      <c r="H422" s="51">
        <f t="shared" si="4"/>
        <v>44000</v>
      </c>
    </row>
    <row r="423" spans="1:8" x14ac:dyDescent="0.25">
      <c r="A423" s="38">
        <f>+IF(B423="","",SUBTOTAL(3,$B$7:B423))</f>
        <v>417</v>
      </c>
      <c r="B423" s="40" t="s">
        <v>442</v>
      </c>
      <c r="C423" s="41">
        <v>45866</v>
      </c>
      <c r="D423" s="40" t="s">
        <v>754</v>
      </c>
      <c r="E423" s="38" t="s">
        <v>101</v>
      </c>
      <c r="F423" s="51">
        <v>4</v>
      </c>
      <c r="G423" s="51">
        <v>4400</v>
      </c>
      <c r="H423" s="51">
        <f t="shared" si="4"/>
        <v>17600</v>
      </c>
    </row>
    <row r="424" spans="1:8" ht="30" x14ac:dyDescent="0.25">
      <c r="A424" s="38">
        <f>+IF(B424="","",SUBTOTAL(3,$B$7:B424))</f>
        <v>418</v>
      </c>
      <c r="B424" s="40" t="s">
        <v>442</v>
      </c>
      <c r="C424" s="41">
        <v>45866</v>
      </c>
      <c r="D424" s="40" t="s">
        <v>866</v>
      </c>
      <c r="E424" s="38" t="s">
        <v>101</v>
      </c>
      <c r="F424" s="51">
        <v>2</v>
      </c>
      <c r="G424" s="51">
        <v>8092</v>
      </c>
      <c r="H424" s="51">
        <f t="shared" si="4"/>
        <v>16184</v>
      </c>
    </row>
    <row r="425" spans="1:8" x14ac:dyDescent="0.25">
      <c r="A425" s="38">
        <f>+IF(B425="","",SUBTOTAL(3,$B$7:B425))</f>
        <v>419</v>
      </c>
      <c r="B425" s="40" t="s">
        <v>442</v>
      </c>
      <c r="C425" s="41">
        <v>45866</v>
      </c>
      <c r="D425" s="40" t="s">
        <v>729</v>
      </c>
      <c r="E425" s="38" t="s">
        <v>101</v>
      </c>
      <c r="F425" s="51">
        <v>1</v>
      </c>
      <c r="G425" s="51">
        <v>55000</v>
      </c>
      <c r="H425" s="51">
        <f t="shared" si="4"/>
        <v>55000</v>
      </c>
    </row>
    <row r="426" spans="1:8" x14ac:dyDescent="0.25">
      <c r="A426" s="38">
        <f>+IF(B426="","",SUBTOTAL(3,$B$7:B426))</f>
        <v>420</v>
      </c>
      <c r="B426" s="40" t="s">
        <v>442</v>
      </c>
      <c r="C426" s="41">
        <v>45866</v>
      </c>
      <c r="D426" s="40" t="s">
        <v>714</v>
      </c>
      <c r="E426" s="38" t="s">
        <v>101</v>
      </c>
      <c r="F426" s="51">
        <v>1</v>
      </c>
      <c r="G426" s="51">
        <v>20000</v>
      </c>
      <c r="H426" s="51">
        <f t="shared" si="4"/>
        <v>20000</v>
      </c>
    </row>
    <row r="427" spans="1:8" ht="30" x14ac:dyDescent="0.25">
      <c r="A427" s="38">
        <f>+IF(B427="","",SUBTOTAL(3,$B$7:B427))</f>
        <v>421</v>
      </c>
      <c r="B427" s="40" t="s">
        <v>477</v>
      </c>
      <c r="C427" s="41">
        <v>45867</v>
      </c>
      <c r="D427" s="40" t="s">
        <v>188</v>
      </c>
      <c r="E427" s="38" t="s">
        <v>101</v>
      </c>
      <c r="F427" s="51">
        <v>1</v>
      </c>
      <c r="G427" s="51">
        <v>36000</v>
      </c>
      <c r="H427" s="51">
        <f t="shared" si="4"/>
        <v>36000</v>
      </c>
    </row>
    <row r="428" spans="1:8" ht="30" x14ac:dyDescent="0.25">
      <c r="A428" s="38">
        <f>+IF(B428="","",SUBTOTAL(3,$B$7:B428))</f>
        <v>422</v>
      </c>
      <c r="B428" s="40" t="s">
        <v>477</v>
      </c>
      <c r="C428" s="41">
        <v>45867</v>
      </c>
      <c r="D428" s="40" t="s">
        <v>699</v>
      </c>
      <c r="E428" s="38" t="s">
        <v>101</v>
      </c>
      <c r="F428" s="51">
        <v>5</v>
      </c>
      <c r="G428" s="51">
        <v>1111.1099999999999</v>
      </c>
      <c r="H428" s="51">
        <f t="shared" si="4"/>
        <v>5555.5499999999993</v>
      </c>
    </row>
    <row r="429" spans="1:8" x14ac:dyDescent="0.25">
      <c r="A429" s="38">
        <f>+IF(B429="","",SUBTOTAL(3,$B$7:B429))</f>
        <v>423</v>
      </c>
      <c r="B429" s="40" t="s">
        <v>442</v>
      </c>
      <c r="C429" s="41">
        <v>45869</v>
      </c>
      <c r="D429" s="40" t="s">
        <v>730</v>
      </c>
      <c r="E429" s="38" t="s">
        <v>101</v>
      </c>
      <c r="F429" s="51">
        <v>2</v>
      </c>
      <c r="G429" s="51">
        <v>23000</v>
      </c>
      <c r="H429" s="51">
        <f t="shared" si="4"/>
        <v>46000</v>
      </c>
    </row>
    <row r="430" spans="1:8" ht="60" x14ac:dyDescent="0.25">
      <c r="A430" s="38">
        <f>+IF(B430="","",SUBTOTAL(3,$B$7:B430))</f>
        <v>424</v>
      </c>
      <c r="B430" s="40" t="s">
        <v>442</v>
      </c>
      <c r="C430" s="41">
        <v>45869</v>
      </c>
      <c r="D430" s="40" t="s">
        <v>859</v>
      </c>
      <c r="E430" s="38" t="s">
        <v>132</v>
      </c>
      <c r="F430" s="51">
        <v>5</v>
      </c>
      <c r="G430" s="51">
        <v>2150</v>
      </c>
      <c r="H430" s="51">
        <f t="shared" si="4"/>
        <v>10750</v>
      </c>
    </row>
    <row r="431" spans="1:8" ht="30" x14ac:dyDescent="0.25">
      <c r="A431" s="38">
        <f>+IF(B431="","",SUBTOTAL(3,$B$7:B431))</f>
        <v>425</v>
      </c>
      <c r="B431" s="40" t="s">
        <v>442</v>
      </c>
      <c r="C431" s="41">
        <v>45869</v>
      </c>
      <c r="D431" s="40" t="s">
        <v>866</v>
      </c>
      <c r="E431" s="38" t="s">
        <v>101</v>
      </c>
      <c r="F431" s="51">
        <v>4</v>
      </c>
      <c r="G431" s="51">
        <v>8092</v>
      </c>
      <c r="H431" s="51">
        <f t="shared" si="4"/>
        <v>32368</v>
      </c>
    </row>
    <row r="432" spans="1:8" ht="30" x14ac:dyDescent="0.25">
      <c r="A432" s="38">
        <f>+IF(B432="","",SUBTOTAL(3,$B$7:B432))</f>
        <v>426</v>
      </c>
      <c r="B432" s="40" t="s">
        <v>442</v>
      </c>
      <c r="C432" s="41">
        <v>45869</v>
      </c>
      <c r="D432" s="40" t="s">
        <v>727</v>
      </c>
      <c r="E432" s="38" t="s">
        <v>101</v>
      </c>
      <c r="F432" s="51">
        <v>8</v>
      </c>
      <c r="G432" s="51">
        <v>4800</v>
      </c>
      <c r="H432" s="51">
        <f t="shared" si="4"/>
        <v>38400</v>
      </c>
    </row>
    <row r="433" spans="1:8" x14ac:dyDescent="0.25">
      <c r="A433" s="38">
        <f>+IF(B433="","",SUBTOTAL(3,$B$7:B433))</f>
        <v>427</v>
      </c>
      <c r="B433" s="40" t="s">
        <v>442</v>
      </c>
      <c r="C433" s="41">
        <v>45869</v>
      </c>
      <c r="D433" s="40" t="s">
        <v>732</v>
      </c>
      <c r="E433" s="38" t="s">
        <v>132</v>
      </c>
      <c r="F433" s="51">
        <v>4</v>
      </c>
      <c r="G433" s="51">
        <v>5454</v>
      </c>
      <c r="H433" s="51">
        <f t="shared" si="4"/>
        <v>21816</v>
      </c>
    </row>
    <row r="434" spans="1:8" x14ac:dyDescent="0.25">
      <c r="A434" s="38">
        <f>+IF(B434="","",SUBTOTAL(3,$B$7:B434))</f>
        <v>428</v>
      </c>
      <c r="B434" s="40" t="s">
        <v>442</v>
      </c>
      <c r="C434" s="41">
        <v>45869</v>
      </c>
      <c r="D434" s="40" t="s">
        <v>143</v>
      </c>
      <c r="E434" s="38" t="s">
        <v>741</v>
      </c>
      <c r="F434" s="51">
        <v>4</v>
      </c>
      <c r="G434" s="51">
        <v>15000</v>
      </c>
      <c r="H434" s="51">
        <f t="shared" si="4"/>
        <v>60000</v>
      </c>
    </row>
    <row r="435" spans="1:8" x14ac:dyDescent="0.25">
      <c r="A435" s="38">
        <f>+IF(B435="","",SUBTOTAL(3,$B$7:B435))</f>
        <v>429</v>
      </c>
      <c r="B435" s="40" t="s">
        <v>442</v>
      </c>
      <c r="C435" s="41">
        <v>45869</v>
      </c>
      <c r="D435" s="40" t="s">
        <v>804</v>
      </c>
      <c r="E435" s="38" t="s">
        <v>101</v>
      </c>
      <c r="F435" s="51">
        <v>2</v>
      </c>
      <c r="G435" s="51">
        <v>36999</v>
      </c>
      <c r="H435" s="51">
        <f t="shared" si="4"/>
        <v>73998</v>
      </c>
    </row>
    <row r="436" spans="1:8" x14ac:dyDescent="0.25">
      <c r="A436" s="38">
        <f>+IF(B436="","",SUBTOTAL(3,$B$7:B436))</f>
        <v>430</v>
      </c>
      <c r="B436" s="40" t="s">
        <v>442</v>
      </c>
      <c r="C436" s="41">
        <v>45869</v>
      </c>
      <c r="D436" s="40" t="s">
        <v>862</v>
      </c>
      <c r="E436" s="38" t="s">
        <v>101</v>
      </c>
      <c r="F436" s="51">
        <v>4</v>
      </c>
      <c r="G436" s="51">
        <v>27000</v>
      </c>
      <c r="H436" s="51">
        <f t="shared" si="4"/>
        <v>108000</v>
      </c>
    </row>
    <row r="437" spans="1:8" x14ac:dyDescent="0.25">
      <c r="A437" s="38">
        <f>+IF(B437="","",SUBTOTAL(3,$B$7:B437))</f>
        <v>431</v>
      </c>
      <c r="B437" s="40" t="s">
        <v>442</v>
      </c>
      <c r="C437" s="41">
        <v>45869</v>
      </c>
      <c r="D437" s="40" t="s">
        <v>817</v>
      </c>
      <c r="E437" s="38" t="s">
        <v>101</v>
      </c>
      <c r="F437" s="51">
        <v>700</v>
      </c>
      <c r="G437" s="51">
        <v>450</v>
      </c>
      <c r="H437" s="51">
        <f t="shared" si="4"/>
        <v>315000</v>
      </c>
    </row>
    <row r="438" spans="1:8" x14ac:dyDescent="0.25">
      <c r="A438" s="38">
        <f>+IF(B438="","",SUBTOTAL(3,$B$7:B438))</f>
        <v>432</v>
      </c>
      <c r="B438" s="40" t="s">
        <v>698</v>
      </c>
      <c r="C438" s="41">
        <v>45874</v>
      </c>
      <c r="D438" s="40" t="s">
        <v>188</v>
      </c>
      <c r="E438" s="38" t="s">
        <v>101</v>
      </c>
      <c r="F438" s="51">
        <v>1</v>
      </c>
      <c r="G438" s="51">
        <v>36000</v>
      </c>
      <c r="H438" s="51">
        <f t="shared" si="4"/>
        <v>36000</v>
      </c>
    </row>
    <row r="439" spans="1:8" x14ac:dyDescent="0.25">
      <c r="A439" s="38">
        <f>+IF(B439="","",SUBTOTAL(3,$B$7:B439))</f>
        <v>433</v>
      </c>
      <c r="B439" s="40" t="s">
        <v>698</v>
      </c>
      <c r="C439" s="41">
        <v>45874</v>
      </c>
      <c r="D439" s="40" t="s">
        <v>699</v>
      </c>
      <c r="E439" s="38" t="s">
        <v>101</v>
      </c>
      <c r="F439" s="51">
        <v>4</v>
      </c>
      <c r="G439" s="51">
        <v>1111.1099999999999</v>
      </c>
      <c r="H439" s="51">
        <f t="shared" si="4"/>
        <v>4444.4399999999996</v>
      </c>
    </row>
    <row r="440" spans="1:8" x14ac:dyDescent="0.25">
      <c r="A440" s="38">
        <f>+IF(B440="","",SUBTOTAL(3,$B$7:B440))</f>
        <v>434</v>
      </c>
      <c r="B440" s="40" t="s">
        <v>705</v>
      </c>
      <c r="C440" s="41">
        <v>45874</v>
      </c>
      <c r="D440" s="40" t="s">
        <v>812</v>
      </c>
      <c r="E440" s="38" t="s">
        <v>101</v>
      </c>
      <c r="F440" s="51">
        <v>30000</v>
      </c>
      <c r="G440" s="51">
        <v>19.8</v>
      </c>
      <c r="H440" s="51">
        <f t="shared" si="4"/>
        <v>594000</v>
      </c>
    </row>
    <row r="441" spans="1:8" x14ac:dyDescent="0.25">
      <c r="A441" s="38">
        <f>+IF(B441="","",SUBTOTAL(3,$B$7:B441))</f>
        <v>435</v>
      </c>
      <c r="B441" s="40" t="s">
        <v>705</v>
      </c>
      <c r="C441" s="41">
        <v>45874</v>
      </c>
      <c r="D441" s="40" t="s">
        <v>811</v>
      </c>
      <c r="E441" s="38" t="s">
        <v>101</v>
      </c>
      <c r="F441" s="51">
        <v>30000</v>
      </c>
      <c r="G441" s="51">
        <v>19.8</v>
      </c>
      <c r="H441" s="51">
        <f t="shared" si="4"/>
        <v>594000</v>
      </c>
    </row>
    <row r="442" spans="1:8" x14ac:dyDescent="0.25">
      <c r="A442" s="38">
        <f>+IF(B442="","",SUBTOTAL(3,$B$7:B442))</f>
        <v>436</v>
      </c>
      <c r="B442" s="40" t="s">
        <v>705</v>
      </c>
      <c r="C442" s="41">
        <v>45874</v>
      </c>
      <c r="D442" s="40" t="s">
        <v>809</v>
      </c>
      <c r="E442" s="38" t="s">
        <v>101</v>
      </c>
      <c r="F442" s="51">
        <v>20000</v>
      </c>
      <c r="G442" s="51">
        <v>19.8</v>
      </c>
      <c r="H442" s="51">
        <f t="shared" si="4"/>
        <v>396000</v>
      </c>
    </row>
    <row r="443" spans="1:8" ht="30" x14ac:dyDescent="0.25">
      <c r="A443" s="38">
        <f>+IF(B443="","",SUBTOTAL(3,$B$7:B443))</f>
        <v>437</v>
      </c>
      <c r="B443" s="40" t="s">
        <v>705</v>
      </c>
      <c r="C443" s="41">
        <v>45874</v>
      </c>
      <c r="D443" s="40" t="s">
        <v>750</v>
      </c>
      <c r="E443" s="38" t="s">
        <v>101</v>
      </c>
      <c r="F443" s="51">
        <v>15</v>
      </c>
      <c r="G443" s="51">
        <v>35000</v>
      </c>
      <c r="H443" s="51">
        <f t="shared" si="4"/>
        <v>525000</v>
      </c>
    </row>
    <row r="444" spans="1:8" x14ac:dyDescent="0.25">
      <c r="A444" s="38">
        <f>+IF(B444="","",SUBTOTAL(3,$B$7:B444))</f>
        <v>438</v>
      </c>
      <c r="B444" s="40" t="s">
        <v>705</v>
      </c>
      <c r="C444" s="41">
        <v>45874</v>
      </c>
      <c r="D444" s="40" t="s">
        <v>773</v>
      </c>
      <c r="E444" s="38" t="s">
        <v>741</v>
      </c>
      <c r="F444" s="51">
        <v>3</v>
      </c>
      <c r="G444" s="51">
        <v>19850</v>
      </c>
      <c r="H444" s="51">
        <f t="shared" si="4"/>
        <v>59550</v>
      </c>
    </row>
    <row r="445" spans="1:8" x14ac:dyDescent="0.25">
      <c r="A445" s="38">
        <f>+IF(B445="","",SUBTOTAL(3,$B$7:B445))</f>
        <v>439</v>
      </c>
      <c r="B445" s="40" t="s">
        <v>705</v>
      </c>
      <c r="C445" s="41">
        <v>45874</v>
      </c>
      <c r="D445" s="40" t="s">
        <v>100</v>
      </c>
      <c r="E445" s="38" t="s">
        <v>101</v>
      </c>
      <c r="F445" s="51">
        <v>10000</v>
      </c>
      <c r="G445" s="51">
        <v>140</v>
      </c>
      <c r="H445" s="51">
        <f t="shared" si="4"/>
        <v>1400000</v>
      </c>
    </row>
    <row r="446" spans="1:8" x14ac:dyDescent="0.25">
      <c r="A446" s="38">
        <f>+IF(B446="","",SUBTOTAL(3,$B$7:B446))</f>
        <v>440</v>
      </c>
      <c r="B446" s="40" t="s">
        <v>705</v>
      </c>
      <c r="C446" s="41">
        <v>45874</v>
      </c>
      <c r="D446" s="40" t="s">
        <v>765</v>
      </c>
      <c r="E446" s="38" t="s">
        <v>741</v>
      </c>
      <c r="F446" s="51">
        <v>10</v>
      </c>
      <c r="G446" s="51">
        <v>34000</v>
      </c>
      <c r="H446" s="51">
        <f t="shared" si="4"/>
        <v>340000</v>
      </c>
    </row>
    <row r="447" spans="1:8" x14ac:dyDescent="0.25">
      <c r="A447" s="38">
        <f>+IF(B447="","",SUBTOTAL(3,$B$7:B447))</f>
        <v>441</v>
      </c>
      <c r="B447" s="40" t="s">
        <v>705</v>
      </c>
      <c r="C447" s="41">
        <v>45874</v>
      </c>
      <c r="D447" s="40" t="s">
        <v>228</v>
      </c>
      <c r="E447" s="38" t="s">
        <v>741</v>
      </c>
      <c r="F447" s="51">
        <v>5</v>
      </c>
      <c r="G447" s="51">
        <v>57222</v>
      </c>
      <c r="H447" s="51">
        <f t="shared" si="4"/>
        <v>286110</v>
      </c>
    </row>
    <row r="448" spans="1:8" x14ac:dyDescent="0.25">
      <c r="A448" s="38">
        <f>+IF(B448="","",SUBTOTAL(3,$B$7:B448))</f>
        <v>442</v>
      </c>
      <c r="B448" s="40" t="s">
        <v>705</v>
      </c>
      <c r="C448" s="41">
        <v>45874</v>
      </c>
      <c r="D448" s="40" t="s">
        <v>808</v>
      </c>
      <c r="E448" s="38" t="s">
        <v>101</v>
      </c>
      <c r="F448" s="51">
        <v>15000</v>
      </c>
      <c r="G448" s="51">
        <v>19.8</v>
      </c>
      <c r="H448" s="51">
        <f t="shared" si="4"/>
        <v>297000</v>
      </c>
    </row>
    <row r="449" spans="1:8" ht="60" x14ac:dyDescent="0.25">
      <c r="A449" s="38">
        <f>+IF(B449="","",SUBTOTAL(3,$B$7:B449))</f>
        <v>443</v>
      </c>
      <c r="B449" s="40" t="s">
        <v>705</v>
      </c>
      <c r="C449" s="41">
        <v>45874</v>
      </c>
      <c r="D449" s="40" t="s">
        <v>859</v>
      </c>
      <c r="E449" s="38" t="s">
        <v>132</v>
      </c>
      <c r="F449" s="51">
        <v>6</v>
      </c>
      <c r="G449" s="51">
        <v>2150</v>
      </c>
      <c r="H449" s="51">
        <f t="shared" si="4"/>
        <v>12900</v>
      </c>
    </row>
    <row r="450" spans="1:8" ht="30" x14ac:dyDescent="0.25">
      <c r="A450" s="38">
        <f>+IF(B450="","",SUBTOTAL(3,$B$7:B450))</f>
        <v>444</v>
      </c>
      <c r="B450" s="40" t="s">
        <v>705</v>
      </c>
      <c r="C450" s="41">
        <v>45874</v>
      </c>
      <c r="D450" s="40" t="s">
        <v>818</v>
      </c>
      <c r="E450" s="38" t="s">
        <v>101</v>
      </c>
      <c r="F450" s="51">
        <v>2000</v>
      </c>
      <c r="G450" s="51">
        <v>99</v>
      </c>
      <c r="H450" s="51">
        <f t="shared" si="4"/>
        <v>198000</v>
      </c>
    </row>
    <row r="451" spans="1:8" ht="45" x14ac:dyDescent="0.25">
      <c r="A451" s="38">
        <f>+IF(B451="","",SUBTOTAL(3,$B$7:B451))</f>
        <v>445</v>
      </c>
      <c r="B451" s="40" t="s">
        <v>705</v>
      </c>
      <c r="C451" s="41">
        <v>45874</v>
      </c>
      <c r="D451" s="40" t="s">
        <v>867</v>
      </c>
      <c r="E451" s="38" t="s">
        <v>101</v>
      </c>
      <c r="F451" s="51">
        <v>15</v>
      </c>
      <c r="G451" s="51">
        <v>2700</v>
      </c>
      <c r="H451" s="51">
        <f t="shared" si="4"/>
        <v>40500</v>
      </c>
    </row>
    <row r="452" spans="1:8" x14ac:dyDescent="0.25">
      <c r="A452" s="38">
        <f>+IF(B452="","",SUBTOTAL(3,$B$7:B452))</f>
        <v>446</v>
      </c>
      <c r="B452" s="40" t="s">
        <v>705</v>
      </c>
      <c r="C452" s="41">
        <v>45874</v>
      </c>
      <c r="D452" s="40" t="s">
        <v>805</v>
      </c>
      <c r="E452" s="38" t="s">
        <v>101</v>
      </c>
      <c r="F452" s="51">
        <v>12</v>
      </c>
      <c r="G452" s="51">
        <v>12000</v>
      </c>
      <c r="H452" s="51">
        <f t="shared" si="4"/>
        <v>144000</v>
      </c>
    </row>
    <row r="453" spans="1:8" ht="30" x14ac:dyDescent="0.25">
      <c r="A453" s="38">
        <f>+IF(B453="","",SUBTOTAL(3,$B$7:B453))</f>
        <v>447</v>
      </c>
      <c r="B453" s="40" t="s">
        <v>705</v>
      </c>
      <c r="C453" s="41">
        <v>45874</v>
      </c>
      <c r="D453" s="40" t="s">
        <v>701</v>
      </c>
      <c r="E453" s="38" t="s">
        <v>101</v>
      </c>
      <c r="F453" s="51">
        <v>10</v>
      </c>
      <c r="G453" s="51">
        <v>19600</v>
      </c>
      <c r="H453" s="51">
        <f t="shared" si="4"/>
        <v>196000</v>
      </c>
    </row>
    <row r="454" spans="1:8" ht="45" x14ac:dyDescent="0.25">
      <c r="A454" s="38">
        <f>+IF(B454="","",SUBTOTAL(3,$B$7:B454))</f>
        <v>448</v>
      </c>
      <c r="B454" s="40" t="s">
        <v>457</v>
      </c>
      <c r="C454" s="41">
        <v>45875</v>
      </c>
      <c r="D454" s="40" t="s">
        <v>188</v>
      </c>
      <c r="E454" s="38" t="s">
        <v>101</v>
      </c>
      <c r="F454" s="51">
        <v>1</v>
      </c>
      <c r="G454" s="51">
        <v>36000</v>
      </c>
      <c r="H454" s="51">
        <f t="shared" si="4"/>
        <v>36000</v>
      </c>
    </row>
    <row r="455" spans="1:8" ht="45" x14ac:dyDescent="0.25">
      <c r="A455" s="38">
        <f>+IF(B455="","",SUBTOTAL(3,$B$7:B455))</f>
        <v>449</v>
      </c>
      <c r="B455" s="40" t="s">
        <v>457</v>
      </c>
      <c r="C455" s="41">
        <v>45875</v>
      </c>
      <c r="D455" s="40" t="s">
        <v>208</v>
      </c>
      <c r="E455" s="38" t="s">
        <v>101</v>
      </c>
      <c r="F455" s="51">
        <v>1</v>
      </c>
      <c r="G455" s="51">
        <v>3333.33</v>
      </c>
      <c r="H455" s="51">
        <f t="shared" si="4"/>
        <v>3333.33</v>
      </c>
    </row>
    <row r="456" spans="1:8" x14ac:dyDescent="0.25">
      <c r="A456" s="38">
        <f>+IF(B456="","",SUBTOTAL(3,$B$7:B456))</f>
        <v>450</v>
      </c>
      <c r="B456" s="40" t="s">
        <v>442</v>
      </c>
      <c r="C456" s="41">
        <v>45876</v>
      </c>
      <c r="D456" s="40" t="s">
        <v>763</v>
      </c>
      <c r="E456" s="38" t="s">
        <v>764</v>
      </c>
      <c r="F456" s="51">
        <v>60</v>
      </c>
      <c r="G456" s="51">
        <v>12400</v>
      </c>
      <c r="H456" s="51">
        <f t="shared" si="4"/>
        <v>744000</v>
      </c>
    </row>
    <row r="457" spans="1:8" x14ac:dyDescent="0.25">
      <c r="A457" s="38">
        <f>+IF(B457="","",SUBTOTAL(3,$B$7:B457))</f>
        <v>451</v>
      </c>
      <c r="B457" s="40" t="s">
        <v>442</v>
      </c>
      <c r="C457" s="41">
        <v>45876</v>
      </c>
      <c r="D457" s="40" t="s">
        <v>712</v>
      </c>
      <c r="E457" s="38" t="s">
        <v>101</v>
      </c>
      <c r="F457" s="51">
        <v>5</v>
      </c>
      <c r="G457" s="51">
        <v>8800</v>
      </c>
      <c r="H457" s="51">
        <f t="shared" si="4"/>
        <v>44000</v>
      </c>
    </row>
    <row r="458" spans="1:8" x14ac:dyDescent="0.25">
      <c r="A458" s="38">
        <f>+IF(B458="","",SUBTOTAL(3,$B$7:B458))</f>
        <v>452</v>
      </c>
      <c r="B458" s="40" t="s">
        <v>751</v>
      </c>
      <c r="C458" s="41">
        <v>45881</v>
      </c>
      <c r="D458" s="40" t="s">
        <v>699</v>
      </c>
      <c r="E458" s="38" t="s">
        <v>101</v>
      </c>
      <c r="F458" s="51">
        <v>1</v>
      </c>
      <c r="G458" s="51">
        <v>1111.1099999999999</v>
      </c>
      <c r="H458" s="51">
        <f t="shared" ref="H458:H521" si="5">+SUM(F458*G458)</f>
        <v>1111.1099999999999</v>
      </c>
    </row>
    <row r="459" spans="1:8" x14ac:dyDescent="0.25">
      <c r="A459" s="38">
        <f>+IF(B459="","",SUBTOTAL(3,$B$7:B459))</f>
        <v>453</v>
      </c>
      <c r="B459" s="40" t="s">
        <v>751</v>
      </c>
      <c r="C459" s="41">
        <v>45881</v>
      </c>
      <c r="D459" s="40" t="s">
        <v>196</v>
      </c>
      <c r="E459" s="38" t="s">
        <v>101</v>
      </c>
      <c r="F459" s="51">
        <v>2</v>
      </c>
      <c r="G459" s="51">
        <v>6999</v>
      </c>
      <c r="H459" s="51">
        <f t="shared" si="5"/>
        <v>13998</v>
      </c>
    </row>
    <row r="460" spans="1:8" x14ac:dyDescent="0.25">
      <c r="A460" s="38">
        <f>+IF(B460="","",SUBTOTAL(3,$B$7:B460))</f>
        <v>454</v>
      </c>
      <c r="B460" s="40" t="s">
        <v>751</v>
      </c>
      <c r="C460" s="41">
        <v>45881</v>
      </c>
      <c r="D460" s="40" t="s">
        <v>819</v>
      </c>
      <c r="E460" s="38" t="s">
        <v>753</v>
      </c>
      <c r="F460" s="51">
        <v>1</v>
      </c>
      <c r="G460" s="51">
        <v>7399</v>
      </c>
      <c r="H460" s="51">
        <f t="shared" si="5"/>
        <v>7399</v>
      </c>
    </row>
    <row r="461" spans="1:8" x14ac:dyDescent="0.25">
      <c r="A461" s="38">
        <f>+IF(B461="","",SUBTOTAL(3,$B$7:B461))</f>
        <v>455</v>
      </c>
      <c r="B461" s="40" t="s">
        <v>442</v>
      </c>
      <c r="C461" s="41">
        <v>45881</v>
      </c>
      <c r="D461" s="40" t="s">
        <v>820</v>
      </c>
      <c r="E461" s="38" t="s">
        <v>101</v>
      </c>
      <c r="F461" s="51">
        <v>6</v>
      </c>
      <c r="G461" s="51">
        <v>14765.62</v>
      </c>
      <c r="H461" s="51">
        <f t="shared" si="5"/>
        <v>88593.72</v>
      </c>
    </row>
    <row r="462" spans="1:8" x14ac:dyDescent="0.25">
      <c r="A462" s="38">
        <f>+IF(B462="","",SUBTOTAL(3,$B$7:B462))</f>
        <v>456</v>
      </c>
      <c r="B462" s="40" t="s">
        <v>442</v>
      </c>
      <c r="C462" s="41">
        <v>45881</v>
      </c>
      <c r="D462" s="40" t="s">
        <v>754</v>
      </c>
      <c r="E462" s="38" t="s">
        <v>101</v>
      </c>
      <c r="F462" s="51">
        <v>4</v>
      </c>
      <c r="G462" s="51">
        <v>4400</v>
      </c>
      <c r="H462" s="51">
        <f t="shared" si="5"/>
        <v>17600</v>
      </c>
    </row>
    <row r="463" spans="1:8" ht="30" x14ac:dyDescent="0.25">
      <c r="A463" s="38">
        <f>+IF(B463="","",SUBTOTAL(3,$B$7:B463))</f>
        <v>457</v>
      </c>
      <c r="B463" s="40" t="s">
        <v>710</v>
      </c>
      <c r="C463" s="41">
        <v>45884</v>
      </c>
      <c r="D463" s="40" t="s">
        <v>739</v>
      </c>
      <c r="E463" s="38" t="s">
        <v>101</v>
      </c>
      <c r="F463" s="51">
        <v>1</v>
      </c>
      <c r="G463" s="51">
        <v>81000</v>
      </c>
      <c r="H463" s="51">
        <f t="shared" si="5"/>
        <v>81000</v>
      </c>
    </row>
    <row r="464" spans="1:8" x14ac:dyDescent="0.25">
      <c r="A464" s="38">
        <f>+IF(B464="","",SUBTOTAL(3,$B$7:B464))</f>
        <v>458</v>
      </c>
      <c r="B464" s="40" t="s">
        <v>442</v>
      </c>
      <c r="C464" s="41">
        <v>45884</v>
      </c>
      <c r="D464" s="40" t="s">
        <v>712</v>
      </c>
      <c r="E464" s="38" t="s">
        <v>101</v>
      </c>
      <c r="F464" s="51">
        <v>1</v>
      </c>
      <c r="G464" s="51">
        <v>8800</v>
      </c>
      <c r="H464" s="51">
        <f t="shared" si="5"/>
        <v>8800</v>
      </c>
    </row>
    <row r="465" spans="1:8" ht="30" x14ac:dyDescent="0.25">
      <c r="A465" s="38">
        <f>+IF(B465="","",SUBTOTAL(3,$B$7:B465))</f>
        <v>459</v>
      </c>
      <c r="B465" s="40" t="s">
        <v>462</v>
      </c>
      <c r="C465" s="41">
        <v>45888</v>
      </c>
      <c r="D465" s="40" t="s">
        <v>814</v>
      </c>
      <c r="E465" s="38" t="s">
        <v>101</v>
      </c>
      <c r="F465" s="51">
        <v>2</v>
      </c>
      <c r="G465" s="51">
        <v>1000</v>
      </c>
      <c r="H465" s="51">
        <f t="shared" si="5"/>
        <v>2000</v>
      </c>
    </row>
    <row r="466" spans="1:8" ht="30" x14ac:dyDescent="0.25">
      <c r="A466" s="38">
        <f>+IF(B466="","",SUBTOTAL(3,$B$7:B466))</f>
        <v>460</v>
      </c>
      <c r="B466" s="40" t="s">
        <v>462</v>
      </c>
      <c r="C466" s="41">
        <v>45888</v>
      </c>
      <c r="D466" s="40" t="s">
        <v>208</v>
      </c>
      <c r="E466" s="38" t="s">
        <v>101</v>
      </c>
      <c r="F466" s="51">
        <v>2</v>
      </c>
      <c r="G466" s="51">
        <v>3333.33</v>
      </c>
      <c r="H466" s="51">
        <f t="shared" si="5"/>
        <v>6666.66</v>
      </c>
    </row>
    <row r="467" spans="1:8" ht="30" x14ac:dyDescent="0.25">
      <c r="A467" s="38">
        <f>+IF(B467="","",SUBTOTAL(3,$B$7:B467))</f>
        <v>461</v>
      </c>
      <c r="B467" s="40" t="s">
        <v>462</v>
      </c>
      <c r="C467" s="41">
        <v>45888</v>
      </c>
      <c r="D467" s="40" t="s">
        <v>739</v>
      </c>
      <c r="E467" s="38" t="s">
        <v>101</v>
      </c>
      <c r="F467" s="51">
        <v>1</v>
      </c>
      <c r="G467" s="51">
        <v>81000</v>
      </c>
      <c r="H467" s="51">
        <f t="shared" si="5"/>
        <v>81000</v>
      </c>
    </row>
    <row r="468" spans="1:8" ht="30" x14ac:dyDescent="0.25">
      <c r="A468" s="38">
        <f>+IF(B468="","",SUBTOTAL(3,$B$7:B468))</f>
        <v>462</v>
      </c>
      <c r="B468" s="40" t="s">
        <v>462</v>
      </c>
      <c r="C468" s="41">
        <v>45888</v>
      </c>
      <c r="D468" s="40" t="s">
        <v>188</v>
      </c>
      <c r="E468" s="38" t="s">
        <v>101</v>
      </c>
      <c r="F468" s="51">
        <v>2</v>
      </c>
      <c r="G468" s="51">
        <v>36000</v>
      </c>
      <c r="H468" s="51">
        <f t="shared" si="5"/>
        <v>72000</v>
      </c>
    </row>
    <row r="469" spans="1:8" ht="30" x14ac:dyDescent="0.25">
      <c r="A469" s="38">
        <f>+IF(B469="","",SUBTOTAL(3,$B$7:B469))</f>
        <v>463</v>
      </c>
      <c r="B469" s="40" t="s">
        <v>462</v>
      </c>
      <c r="C469" s="41">
        <v>45888</v>
      </c>
      <c r="D469" s="40" t="s">
        <v>699</v>
      </c>
      <c r="E469" s="38" t="s">
        <v>101</v>
      </c>
      <c r="F469" s="51">
        <v>8</v>
      </c>
      <c r="G469" s="51">
        <v>1111.1099999999999</v>
      </c>
      <c r="H469" s="51">
        <f t="shared" si="5"/>
        <v>8888.8799999999992</v>
      </c>
    </row>
    <row r="470" spans="1:8" ht="30" x14ac:dyDescent="0.25">
      <c r="A470" s="38">
        <f>+IF(B470="","",SUBTOTAL(3,$B$7:B470))</f>
        <v>464</v>
      </c>
      <c r="B470" s="40" t="s">
        <v>462</v>
      </c>
      <c r="C470" s="41">
        <v>45888</v>
      </c>
      <c r="D470" s="40" t="s">
        <v>736</v>
      </c>
      <c r="E470" s="38" t="s">
        <v>140</v>
      </c>
      <c r="F470" s="51">
        <v>2</v>
      </c>
      <c r="G470" s="51">
        <v>4000</v>
      </c>
      <c r="H470" s="51">
        <f t="shared" si="5"/>
        <v>8000</v>
      </c>
    </row>
    <row r="471" spans="1:8" ht="30" x14ac:dyDescent="0.25">
      <c r="A471" s="38">
        <f>+IF(B471="","",SUBTOTAL(3,$B$7:B471))</f>
        <v>465</v>
      </c>
      <c r="B471" s="40" t="s">
        <v>462</v>
      </c>
      <c r="C471" s="41">
        <v>45888</v>
      </c>
      <c r="D471" s="40" t="s">
        <v>709</v>
      </c>
      <c r="E471" s="38" t="s">
        <v>101</v>
      </c>
      <c r="F471" s="51">
        <v>2</v>
      </c>
      <c r="G471" s="51">
        <v>10000</v>
      </c>
      <c r="H471" s="51">
        <f t="shared" si="5"/>
        <v>20000</v>
      </c>
    </row>
    <row r="472" spans="1:8" x14ac:dyDescent="0.25">
      <c r="A472" s="38">
        <f>+IF(B472="","",SUBTOTAL(3,$B$7:B472))</f>
        <v>466</v>
      </c>
      <c r="B472" s="40" t="s">
        <v>710</v>
      </c>
      <c r="C472" s="41">
        <v>45888</v>
      </c>
      <c r="D472" s="40" t="s">
        <v>188</v>
      </c>
      <c r="E472" s="38" t="s">
        <v>101</v>
      </c>
      <c r="F472" s="51">
        <v>1</v>
      </c>
      <c r="G472" s="51">
        <v>36000</v>
      </c>
      <c r="H472" s="51">
        <f t="shared" si="5"/>
        <v>36000</v>
      </c>
    </row>
    <row r="473" spans="1:8" x14ac:dyDescent="0.25">
      <c r="A473" s="38">
        <f>+IF(B473="","",SUBTOTAL(3,$B$7:B473))</f>
        <v>467</v>
      </c>
      <c r="B473" s="40" t="s">
        <v>710</v>
      </c>
      <c r="C473" s="41">
        <v>45888</v>
      </c>
      <c r="D473" s="40" t="s">
        <v>711</v>
      </c>
      <c r="E473" s="38" t="s">
        <v>101</v>
      </c>
      <c r="F473" s="51">
        <v>4</v>
      </c>
      <c r="G473" s="51">
        <v>13668</v>
      </c>
      <c r="H473" s="51">
        <f t="shared" si="5"/>
        <v>54672</v>
      </c>
    </row>
    <row r="474" spans="1:8" x14ac:dyDescent="0.25">
      <c r="A474" s="38">
        <f>+IF(B474="","",SUBTOTAL(3,$B$7:B474))</f>
        <v>468</v>
      </c>
      <c r="B474" s="40" t="s">
        <v>710</v>
      </c>
      <c r="C474" s="41">
        <v>45888</v>
      </c>
      <c r="D474" s="40" t="s">
        <v>712</v>
      </c>
      <c r="E474" s="38" t="s">
        <v>101</v>
      </c>
      <c r="F474" s="51">
        <v>4</v>
      </c>
      <c r="G474" s="51">
        <v>8800</v>
      </c>
      <c r="H474" s="51">
        <f t="shared" si="5"/>
        <v>35200</v>
      </c>
    </row>
    <row r="475" spans="1:8" x14ac:dyDescent="0.25">
      <c r="A475" s="38">
        <f>+IF(B475="","",SUBTOTAL(3,$B$7:B475))</f>
        <v>469</v>
      </c>
      <c r="B475" s="40" t="s">
        <v>717</v>
      </c>
      <c r="C475" s="41">
        <v>45889</v>
      </c>
      <c r="D475" s="40" t="s">
        <v>769</v>
      </c>
      <c r="E475" s="38" t="s">
        <v>140</v>
      </c>
      <c r="F475" s="51">
        <v>1</v>
      </c>
      <c r="G475" s="51">
        <v>3800</v>
      </c>
      <c r="H475" s="51">
        <f t="shared" si="5"/>
        <v>3800</v>
      </c>
    </row>
    <row r="476" spans="1:8" x14ac:dyDescent="0.25">
      <c r="A476" s="38">
        <f>+IF(B476="","",SUBTOTAL(3,$B$7:B476))</f>
        <v>470</v>
      </c>
      <c r="B476" s="40" t="s">
        <v>717</v>
      </c>
      <c r="C476" s="41">
        <v>45889</v>
      </c>
      <c r="D476" s="40" t="s">
        <v>188</v>
      </c>
      <c r="E476" s="38" t="s">
        <v>101</v>
      </c>
      <c r="F476" s="51">
        <v>1</v>
      </c>
      <c r="G476" s="51">
        <v>36000</v>
      </c>
      <c r="H476" s="51">
        <f t="shared" si="5"/>
        <v>36000</v>
      </c>
    </row>
    <row r="477" spans="1:8" ht="30" x14ac:dyDescent="0.25">
      <c r="A477" s="38">
        <f>+IF(B477="","",SUBTOTAL(3,$B$7:B477))</f>
        <v>471</v>
      </c>
      <c r="B477" s="40" t="s">
        <v>449</v>
      </c>
      <c r="C477" s="41">
        <v>45894</v>
      </c>
      <c r="D477" s="40" t="s">
        <v>689</v>
      </c>
      <c r="E477" s="38" t="s">
        <v>101</v>
      </c>
      <c r="F477" s="51">
        <v>18</v>
      </c>
      <c r="G477" s="51">
        <v>304643.31</v>
      </c>
      <c r="H477" s="51">
        <f t="shared" si="5"/>
        <v>5483579.5800000001</v>
      </c>
    </row>
    <row r="478" spans="1:8" ht="45" x14ac:dyDescent="0.25">
      <c r="A478" s="38">
        <f>+IF(B478="","",SUBTOTAL(3,$B$7:B478))</f>
        <v>472</v>
      </c>
      <c r="B478" s="40" t="s">
        <v>737</v>
      </c>
      <c r="C478" s="41">
        <v>45894</v>
      </c>
      <c r="D478" s="40" t="s">
        <v>188</v>
      </c>
      <c r="E478" s="38" t="s">
        <v>101</v>
      </c>
      <c r="F478" s="51">
        <v>1</v>
      </c>
      <c r="G478" s="51">
        <v>36000</v>
      </c>
      <c r="H478" s="51">
        <f t="shared" si="5"/>
        <v>36000</v>
      </c>
    </row>
    <row r="479" spans="1:8" ht="45" x14ac:dyDescent="0.25">
      <c r="A479" s="38">
        <f>+IF(B479="","",SUBTOTAL(3,$B$7:B479))</f>
        <v>473</v>
      </c>
      <c r="B479" s="40" t="s">
        <v>737</v>
      </c>
      <c r="C479" s="41">
        <v>45894</v>
      </c>
      <c r="D479" s="40" t="s">
        <v>208</v>
      </c>
      <c r="E479" s="38" t="s">
        <v>101</v>
      </c>
      <c r="F479" s="51">
        <v>1</v>
      </c>
      <c r="G479" s="51">
        <v>3333.33</v>
      </c>
      <c r="H479" s="51">
        <f t="shared" si="5"/>
        <v>3333.33</v>
      </c>
    </row>
    <row r="480" spans="1:8" ht="45" x14ac:dyDescent="0.25">
      <c r="A480" s="38">
        <f>+IF(B480="","",SUBTOTAL(3,$B$7:B480))</f>
        <v>474</v>
      </c>
      <c r="B480" s="40" t="s">
        <v>737</v>
      </c>
      <c r="C480" s="41">
        <v>45894</v>
      </c>
      <c r="D480" s="40" t="s">
        <v>699</v>
      </c>
      <c r="E480" s="38" t="s">
        <v>101</v>
      </c>
      <c r="F480" s="51">
        <v>2</v>
      </c>
      <c r="G480" s="51">
        <v>1111.1099999999999</v>
      </c>
      <c r="H480" s="51">
        <f t="shared" si="5"/>
        <v>2222.2199999999998</v>
      </c>
    </row>
    <row r="481" spans="1:8" ht="45" x14ac:dyDescent="0.25">
      <c r="A481" s="38">
        <f>+IF(B481="","",SUBTOTAL(3,$B$7:B481))</f>
        <v>475</v>
      </c>
      <c r="B481" s="40" t="s">
        <v>737</v>
      </c>
      <c r="C481" s="41">
        <v>45894</v>
      </c>
      <c r="D481" s="40" t="s">
        <v>814</v>
      </c>
      <c r="E481" s="38" t="s">
        <v>101</v>
      </c>
      <c r="F481" s="51">
        <v>2</v>
      </c>
      <c r="G481" s="51">
        <v>1000</v>
      </c>
      <c r="H481" s="51">
        <f t="shared" si="5"/>
        <v>2000</v>
      </c>
    </row>
    <row r="482" spans="1:8" x14ac:dyDescent="0.25">
      <c r="A482" s="38">
        <f>+IF(B482="","",SUBTOTAL(3,$B$7:B482))</f>
        <v>476</v>
      </c>
      <c r="B482" s="40" t="s">
        <v>442</v>
      </c>
      <c r="C482" s="41">
        <v>45895</v>
      </c>
      <c r="D482" s="40" t="s">
        <v>188</v>
      </c>
      <c r="E482" s="38" t="s">
        <v>101</v>
      </c>
      <c r="F482" s="51">
        <v>1</v>
      </c>
      <c r="G482" s="51">
        <v>36000</v>
      </c>
      <c r="H482" s="51">
        <f t="shared" si="5"/>
        <v>36000</v>
      </c>
    </row>
    <row r="483" spans="1:8" x14ac:dyDescent="0.25">
      <c r="A483" s="38">
        <f>+IF(B483="","",SUBTOTAL(3,$B$7:B483))</f>
        <v>477</v>
      </c>
      <c r="B483" s="40" t="s">
        <v>442</v>
      </c>
      <c r="C483" s="41">
        <v>45895</v>
      </c>
      <c r="D483" s="40" t="s">
        <v>143</v>
      </c>
      <c r="E483" s="38" t="s">
        <v>741</v>
      </c>
      <c r="F483" s="51">
        <v>4</v>
      </c>
      <c r="G483" s="51">
        <v>15000</v>
      </c>
      <c r="H483" s="51">
        <f t="shared" si="5"/>
        <v>60000</v>
      </c>
    </row>
    <row r="484" spans="1:8" x14ac:dyDescent="0.25">
      <c r="A484" s="38">
        <f>+IF(B484="","",SUBTOTAL(3,$B$7:B484))</f>
        <v>478</v>
      </c>
      <c r="B484" s="40" t="s">
        <v>442</v>
      </c>
      <c r="C484" s="41">
        <v>45895</v>
      </c>
      <c r="D484" s="40" t="s">
        <v>712</v>
      </c>
      <c r="E484" s="38" t="s">
        <v>101</v>
      </c>
      <c r="F484" s="51">
        <v>4</v>
      </c>
      <c r="G484" s="51">
        <v>8800</v>
      </c>
      <c r="H484" s="51">
        <f t="shared" si="5"/>
        <v>35200</v>
      </c>
    </row>
    <row r="485" spans="1:8" x14ac:dyDescent="0.25">
      <c r="A485" s="38">
        <f>+IF(B485="","",SUBTOTAL(3,$B$7:B485))</f>
        <v>479</v>
      </c>
      <c r="B485" s="40" t="s">
        <v>442</v>
      </c>
      <c r="C485" s="41">
        <v>45895</v>
      </c>
      <c r="D485" s="40" t="s">
        <v>714</v>
      </c>
      <c r="E485" s="38" t="s">
        <v>101</v>
      </c>
      <c r="F485" s="51">
        <v>1</v>
      </c>
      <c r="G485" s="51">
        <v>20000</v>
      </c>
      <c r="H485" s="51">
        <f t="shared" si="5"/>
        <v>20000</v>
      </c>
    </row>
    <row r="486" spans="1:8" x14ac:dyDescent="0.25">
      <c r="A486" s="38">
        <f>+IF(B486="","",SUBTOTAL(3,$B$7:B486))</f>
        <v>480</v>
      </c>
      <c r="B486" s="40" t="s">
        <v>442</v>
      </c>
      <c r="C486" s="41">
        <v>45895</v>
      </c>
      <c r="D486" s="40" t="s">
        <v>732</v>
      </c>
      <c r="E486" s="38" t="s">
        <v>132</v>
      </c>
      <c r="F486" s="51">
        <v>4</v>
      </c>
      <c r="G486" s="51">
        <v>5454</v>
      </c>
      <c r="H486" s="51">
        <f t="shared" si="5"/>
        <v>21816</v>
      </c>
    </row>
    <row r="487" spans="1:8" ht="30" x14ac:dyDescent="0.25">
      <c r="A487" s="38">
        <f>+IF(B487="","",SUBTOTAL(3,$B$7:B487))</f>
        <v>481</v>
      </c>
      <c r="B487" s="40" t="s">
        <v>442</v>
      </c>
      <c r="C487" s="41">
        <v>45895</v>
      </c>
      <c r="D487" s="40" t="s">
        <v>727</v>
      </c>
      <c r="E487" s="38" t="s">
        <v>101</v>
      </c>
      <c r="F487" s="51">
        <v>8</v>
      </c>
      <c r="G487" s="51">
        <v>4800</v>
      </c>
      <c r="H487" s="51">
        <f t="shared" si="5"/>
        <v>38400</v>
      </c>
    </row>
    <row r="488" spans="1:8" ht="60" x14ac:dyDescent="0.25">
      <c r="A488" s="38">
        <f>+IF(B488="","",SUBTOTAL(3,$B$7:B488))</f>
        <v>482</v>
      </c>
      <c r="B488" s="40" t="s">
        <v>799</v>
      </c>
      <c r="C488" s="41">
        <v>45895</v>
      </c>
      <c r="D488" s="40" t="s">
        <v>188</v>
      </c>
      <c r="E488" s="38" t="s">
        <v>101</v>
      </c>
      <c r="F488" s="51">
        <v>1</v>
      </c>
      <c r="G488" s="51">
        <v>36000</v>
      </c>
      <c r="H488" s="51">
        <f t="shared" si="5"/>
        <v>36000</v>
      </c>
    </row>
    <row r="489" spans="1:8" x14ac:dyDescent="0.25">
      <c r="A489" s="38">
        <f>+IF(B489="","",SUBTOTAL(3,$B$7:B489))</f>
        <v>483</v>
      </c>
      <c r="B489" s="40" t="s">
        <v>451</v>
      </c>
      <c r="C489" s="41">
        <v>45895</v>
      </c>
      <c r="D489" s="40" t="s">
        <v>188</v>
      </c>
      <c r="E489" s="38" t="s">
        <v>101</v>
      </c>
      <c r="F489" s="51">
        <v>1</v>
      </c>
      <c r="G489" s="51">
        <v>36000</v>
      </c>
      <c r="H489" s="51">
        <f t="shared" si="5"/>
        <v>36000</v>
      </c>
    </row>
    <row r="490" spans="1:8" x14ac:dyDescent="0.25">
      <c r="A490" s="38">
        <f>+IF(B490="","",SUBTOTAL(3,$B$7:B490))</f>
        <v>484</v>
      </c>
      <c r="B490" s="40" t="s">
        <v>451</v>
      </c>
      <c r="C490" s="41">
        <v>45895</v>
      </c>
      <c r="D490" s="40" t="s">
        <v>196</v>
      </c>
      <c r="E490" s="38" t="s">
        <v>101</v>
      </c>
      <c r="F490" s="51">
        <v>1</v>
      </c>
      <c r="G490" s="51">
        <v>6999</v>
      </c>
      <c r="H490" s="51">
        <f t="shared" si="5"/>
        <v>6999</v>
      </c>
    </row>
    <row r="491" spans="1:8" x14ac:dyDescent="0.25">
      <c r="A491" s="38">
        <f>+IF(B491="","",SUBTOTAL(3,$B$7:B491))</f>
        <v>485</v>
      </c>
      <c r="B491" s="40" t="s">
        <v>451</v>
      </c>
      <c r="C491" s="41">
        <v>45895</v>
      </c>
      <c r="D491" s="40" t="s">
        <v>699</v>
      </c>
      <c r="E491" s="38" t="s">
        <v>101</v>
      </c>
      <c r="F491" s="51">
        <v>7</v>
      </c>
      <c r="G491" s="51">
        <v>1111.1099999999999</v>
      </c>
      <c r="H491" s="51">
        <f t="shared" si="5"/>
        <v>7777.7699999999995</v>
      </c>
    </row>
    <row r="492" spans="1:8" x14ac:dyDescent="0.25">
      <c r="A492" s="38">
        <f>+IF(B492="","",SUBTOTAL(3,$B$7:B492))</f>
        <v>486</v>
      </c>
      <c r="B492" s="40" t="s">
        <v>451</v>
      </c>
      <c r="C492" s="41">
        <v>45895</v>
      </c>
      <c r="D492" s="40" t="s">
        <v>208</v>
      </c>
      <c r="E492" s="38" t="s">
        <v>101</v>
      </c>
      <c r="F492" s="51">
        <v>4</v>
      </c>
      <c r="G492" s="51">
        <v>3333.33</v>
      </c>
      <c r="H492" s="51">
        <f t="shared" si="5"/>
        <v>13333.32</v>
      </c>
    </row>
    <row r="493" spans="1:8" x14ac:dyDescent="0.25">
      <c r="A493" s="38">
        <f>+IF(B493="","",SUBTOTAL(3,$B$7:B493))</f>
        <v>487</v>
      </c>
      <c r="B493" s="40" t="s">
        <v>451</v>
      </c>
      <c r="C493" s="41">
        <v>45895</v>
      </c>
      <c r="D493" s="40" t="s">
        <v>709</v>
      </c>
      <c r="E493" s="38" t="s">
        <v>101</v>
      </c>
      <c r="F493" s="51">
        <v>2</v>
      </c>
      <c r="G493" s="51">
        <v>10000</v>
      </c>
      <c r="H493" s="51">
        <f t="shared" si="5"/>
        <v>20000</v>
      </c>
    </row>
    <row r="494" spans="1:8" x14ac:dyDescent="0.25">
      <c r="A494" s="38">
        <f>+IF(B494="","",SUBTOTAL(3,$B$7:B494))</f>
        <v>488</v>
      </c>
      <c r="B494" s="40" t="s">
        <v>451</v>
      </c>
      <c r="C494" s="41">
        <v>45895</v>
      </c>
      <c r="D494" s="40" t="s">
        <v>711</v>
      </c>
      <c r="E494" s="38" t="s">
        <v>101</v>
      </c>
      <c r="F494" s="51">
        <v>1</v>
      </c>
      <c r="G494" s="51">
        <v>13668</v>
      </c>
      <c r="H494" s="51">
        <f t="shared" si="5"/>
        <v>13668</v>
      </c>
    </row>
    <row r="495" spans="1:8" x14ac:dyDescent="0.25">
      <c r="A495" s="38">
        <f>+IF(B495="","",SUBTOTAL(3,$B$7:B495))</f>
        <v>489</v>
      </c>
      <c r="B495" s="40" t="s">
        <v>451</v>
      </c>
      <c r="C495" s="41">
        <v>45895</v>
      </c>
      <c r="D495" s="40" t="s">
        <v>748</v>
      </c>
      <c r="E495" s="38" t="s">
        <v>101</v>
      </c>
      <c r="F495" s="51">
        <v>100</v>
      </c>
      <c r="G495" s="51">
        <v>400</v>
      </c>
      <c r="H495" s="51">
        <f t="shared" si="5"/>
        <v>40000</v>
      </c>
    </row>
    <row r="496" spans="1:8" x14ac:dyDescent="0.25">
      <c r="A496" s="38">
        <f>+IF(B496="","",SUBTOTAL(3,$B$7:B496))</f>
        <v>490</v>
      </c>
      <c r="B496" s="40" t="s">
        <v>451</v>
      </c>
      <c r="C496" s="41">
        <v>45895</v>
      </c>
      <c r="D496" s="40" t="s">
        <v>748</v>
      </c>
      <c r="E496" s="38" t="s">
        <v>101</v>
      </c>
      <c r="F496" s="51">
        <v>100</v>
      </c>
      <c r="G496" s="51">
        <v>400</v>
      </c>
      <c r="H496" s="51">
        <f t="shared" si="5"/>
        <v>40000</v>
      </c>
    </row>
    <row r="497" spans="1:8" x14ac:dyDescent="0.25">
      <c r="A497" s="38">
        <f>+IF(B497="","",SUBTOTAL(3,$B$7:B497))</f>
        <v>491</v>
      </c>
      <c r="B497" s="40" t="s">
        <v>451</v>
      </c>
      <c r="C497" s="41">
        <v>45895</v>
      </c>
      <c r="D497" s="40" t="s">
        <v>749</v>
      </c>
      <c r="E497" s="38" t="s">
        <v>101</v>
      </c>
      <c r="F497" s="51">
        <v>100</v>
      </c>
      <c r="G497" s="51">
        <v>600</v>
      </c>
      <c r="H497" s="51">
        <f t="shared" si="5"/>
        <v>60000</v>
      </c>
    </row>
    <row r="498" spans="1:8" x14ac:dyDescent="0.25">
      <c r="A498" s="38">
        <f>+IF(B498="","",SUBTOTAL(3,$B$7:B498))</f>
        <v>492</v>
      </c>
      <c r="B498" s="40" t="s">
        <v>451</v>
      </c>
      <c r="C498" s="41">
        <v>45895</v>
      </c>
      <c r="D498" s="40" t="s">
        <v>749</v>
      </c>
      <c r="E498" s="38" t="s">
        <v>101</v>
      </c>
      <c r="F498" s="51">
        <v>100</v>
      </c>
      <c r="G498" s="51">
        <v>600</v>
      </c>
      <c r="H498" s="51">
        <f t="shared" si="5"/>
        <v>60000</v>
      </c>
    </row>
    <row r="499" spans="1:8" x14ac:dyDescent="0.25">
      <c r="A499" s="38">
        <f>+IF(B499="","",SUBTOTAL(3,$B$7:B499))</f>
        <v>493</v>
      </c>
      <c r="B499" s="40" t="s">
        <v>442</v>
      </c>
      <c r="C499" s="41">
        <v>45898</v>
      </c>
      <c r="D499" s="40" t="s">
        <v>763</v>
      </c>
      <c r="E499" s="38" t="s">
        <v>764</v>
      </c>
      <c r="F499" s="51">
        <v>60</v>
      </c>
      <c r="G499" s="51">
        <v>12400</v>
      </c>
      <c r="H499" s="51">
        <f t="shared" si="5"/>
        <v>744000</v>
      </c>
    </row>
    <row r="500" spans="1:8" x14ac:dyDescent="0.25">
      <c r="A500" s="38">
        <f>+IF(B500="","",SUBTOTAL(3,$B$7:B500))</f>
        <v>494</v>
      </c>
      <c r="B500" s="40" t="s">
        <v>705</v>
      </c>
      <c r="C500" s="41">
        <v>45902</v>
      </c>
      <c r="D500" s="40" t="s">
        <v>811</v>
      </c>
      <c r="E500" s="38" t="s">
        <v>101</v>
      </c>
      <c r="F500" s="51">
        <v>20000</v>
      </c>
      <c r="G500" s="51">
        <v>19.8</v>
      </c>
      <c r="H500" s="51">
        <f t="shared" si="5"/>
        <v>396000</v>
      </c>
    </row>
    <row r="501" spans="1:8" x14ac:dyDescent="0.25">
      <c r="A501" s="38">
        <f>+IF(B501="","",SUBTOTAL(3,$B$7:B501))</f>
        <v>495</v>
      </c>
      <c r="B501" s="40" t="s">
        <v>705</v>
      </c>
      <c r="C501" s="41">
        <v>45902</v>
      </c>
      <c r="D501" s="40" t="s">
        <v>812</v>
      </c>
      <c r="E501" s="38" t="s">
        <v>101</v>
      </c>
      <c r="F501" s="51">
        <v>30000</v>
      </c>
      <c r="G501" s="51">
        <v>19.8</v>
      </c>
      <c r="H501" s="51">
        <f t="shared" si="5"/>
        <v>594000</v>
      </c>
    </row>
    <row r="502" spans="1:8" x14ac:dyDescent="0.25">
      <c r="A502" s="38">
        <f>+IF(B502="","",SUBTOTAL(3,$B$7:B502))</f>
        <v>496</v>
      </c>
      <c r="B502" s="40" t="s">
        <v>705</v>
      </c>
      <c r="C502" s="41">
        <v>45902</v>
      </c>
      <c r="D502" s="40" t="s">
        <v>802</v>
      </c>
      <c r="E502" s="38" t="s">
        <v>101</v>
      </c>
      <c r="F502" s="51">
        <v>5100</v>
      </c>
      <c r="G502" s="51">
        <v>34.950000000000003</v>
      </c>
      <c r="H502" s="51">
        <f t="shared" si="5"/>
        <v>178245</v>
      </c>
    </row>
    <row r="503" spans="1:8" x14ac:dyDescent="0.25">
      <c r="A503" s="38">
        <f>+IF(B503="","",SUBTOTAL(3,$B$7:B503))</f>
        <v>497</v>
      </c>
      <c r="B503" s="40" t="s">
        <v>705</v>
      </c>
      <c r="C503" s="41">
        <v>45902</v>
      </c>
      <c r="D503" s="40" t="s">
        <v>758</v>
      </c>
      <c r="E503" s="38" t="s">
        <v>101</v>
      </c>
      <c r="F503" s="51">
        <v>5100</v>
      </c>
      <c r="G503" s="51">
        <v>34.950000000000003</v>
      </c>
      <c r="H503" s="51">
        <f t="shared" si="5"/>
        <v>178245</v>
      </c>
    </row>
    <row r="504" spans="1:8" x14ac:dyDescent="0.25">
      <c r="A504" s="38">
        <f>+IF(B504="","",SUBTOTAL(3,$B$7:B504))</f>
        <v>498</v>
      </c>
      <c r="B504" s="40" t="s">
        <v>705</v>
      </c>
      <c r="C504" s="41">
        <v>45902</v>
      </c>
      <c r="D504" s="40" t="s">
        <v>724</v>
      </c>
      <c r="E504" s="38" t="s">
        <v>101</v>
      </c>
      <c r="F504" s="51">
        <v>3400</v>
      </c>
      <c r="G504" s="51">
        <v>34.950000000000003</v>
      </c>
      <c r="H504" s="51">
        <f t="shared" si="5"/>
        <v>118830.00000000001</v>
      </c>
    </row>
    <row r="505" spans="1:8" x14ac:dyDescent="0.25">
      <c r="A505" s="38">
        <f>+IF(B505="","",SUBTOTAL(3,$B$7:B505))</f>
        <v>499</v>
      </c>
      <c r="B505" s="40" t="s">
        <v>705</v>
      </c>
      <c r="C505" s="41">
        <v>45902</v>
      </c>
      <c r="D505" s="40" t="s">
        <v>100</v>
      </c>
      <c r="E505" s="38" t="s">
        <v>101</v>
      </c>
      <c r="F505" s="51">
        <v>10000</v>
      </c>
      <c r="G505" s="51">
        <v>140</v>
      </c>
      <c r="H505" s="51">
        <f t="shared" si="5"/>
        <v>1400000</v>
      </c>
    </row>
    <row r="506" spans="1:8" x14ac:dyDescent="0.25">
      <c r="A506" s="38">
        <f>+IF(B506="","",SUBTOTAL(3,$B$7:B506))</f>
        <v>500</v>
      </c>
      <c r="B506" s="40" t="s">
        <v>705</v>
      </c>
      <c r="C506" s="41">
        <v>45902</v>
      </c>
      <c r="D506" s="40" t="s">
        <v>229</v>
      </c>
      <c r="E506" s="38" t="s">
        <v>741</v>
      </c>
      <c r="F506" s="51">
        <v>25</v>
      </c>
      <c r="G506" s="51">
        <v>26500</v>
      </c>
      <c r="H506" s="51">
        <f t="shared" si="5"/>
        <v>662500</v>
      </c>
    </row>
    <row r="507" spans="1:8" ht="30" x14ac:dyDescent="0.25">
      <c r="A507" s="38">
        <f>+IF(B507="","",SUBTOTAL(3,$B$7:B507))</f>
        <v>501</v>
      </c>
      <c r="B507" s="40" t="s">
        <v>705</v>
      </c>
      <c r="C507" s="41">
        <v>45902</v>
      </c>
      <c r="D507" s="40" t="s">
        <v>727</v>
      </c>
      <c r="E507" s="38" t="s">
        <v>101</v>
      </c>
      <c r="F507" s="51">
        <v>4</v>
      </c>
      <c r="G507" s="51">
        <v>4800</v>
      </c>
      <c r="H507" s="51">
        <f t="shared" si="5"/>
        <v>19200</v>
      </c>
    </row>
    <row r="508" spans="1:8" x14ac:dyDescent="0.25">
      <c r="A508" s="38">
        <f>+IF(B508="","",SUBTOTAL(3,$B$7:B508))</f>
        <v>502</v>
      </c>
      <c r="B508" s="40" t="s">
        <v>705</v>
      </c>
      <c r="C508" s="41">
        <v>45902</v>
      </c>
      <c r="D508" s="40" t="s">
        <v>706</v>
      </c>
      <c r="E508" s="38" t="s">
        <v>707</v>
      </c>
      <c r="F508" s="51">
        <v>10</v>
      </c>
      <c r="G508" s="51">
        <v>9900</v>
      </c>
      <c r="H508" s="51">
        <f t="shared" si="5"/>
        <v>99000</v>
      </c>
    </row>
    <row r="509" spans="1:8" ht="30" x14ac:dyDescent="0.25">
      <c r="A509" s="38">
        <f>+IF(B509="","",SUBTOTAL(3,$B$7:B509))</f>
        <v>503</v>
      </c>
      <c r="B509" s="40" t="s">
        <v>705</v>
      </c>
      <c r="C509" s="41">
        <v>45902</v>
      </c>
      <c r="D509" s="40" t="s">
        <v>701</v>
      </c>
      <c r="E509" s="38" t="s">
        <v>101</v>
      </c>
      <c r="F509" s="51">
        <v>10</v>
      </c>
      <c r="G509" s="51">
        <v>19600</v>
      </c>
      <c r="H509" s="51">
        <f t="shared" si="5"/>
        <v>196000</v>
      </c>
    </row>
    <row r="510" spans="1:8" x14ac:dyDescent="0.25">
      <c r="A510" s="38">
        <f>+IF(B510="","",SUBTOTAL(3,$B$7:B510))</f>
        <v>504</v>
      </c>
      <c r="B510" s="40" t="s">
        <v>705</v>
      </c>
      <c r="C510" s="41">
        <v>45902</v>
      </c>
      <c r="D510" s="40" t="s">
        <v>704</v>
      </c>
      <c r="E510" s="38" t="s">
        <v>101</v>
      </c>
      <c r="F510" s="51">
        <v>1</v>
      </c>
      <c r="G510" s="51">
        <v>64500</v>
      </c>
      <c r="H510" s="51">
        <f t="shared" si="5"/>
        <v>64500</v>
      </c>
    </row>
    <row r="511" spans="1:8" x14ac:dyDescent="0.25">
      <c r="A511" s="38">
        <f>+IF(B511="","",SUBTOTAL(3,$B$7:B511))</f>
        <v>505</v>
      </c>
      <c r="B511" s="40" t="s">
        <v>705</v>
      </c>
      <c r="C511" s="41">
        <v>45902</v>
      </c>
      <c r="D511" s="40" t="s">
        <v>709</v>
      </c>
      <c r="E511" s="38" t="s">
        <v>101</v>
      </c>
      <c r="F511" s="51">
        <v>15</v>
      </c>
      <c r="G511" s="51">
        <v>10000</v>
      </c>
      <c r="H511" s="51">
        <f t="shared" si="5"/>
        <v>150000</v>
      </c>
    </row>
    <row r="512" spans="1:8" x14ac:dyDescent="0.25">
      <c r="A512" s="38">
        <f>+IF(B512="","",SUBTOTAL(3,$B$7:B512))</f>
        <v>506</v>
      </c>
      <c r="B512" s="40" t="s">
        <v>705</v>
      </c>
      <c r="C512" s="41">
        <v>45902</v>
      </c>
      <c r="D512" s="40" t="s">
        <v>805</v>
      </c>
      <c r="E512" s="38" t="s">
        <v>101</v>
      </c>
      <c r="F512" s="51">
        <v>8</v>
      </c>
      <c r="G512" s="51">
        <v>12000</v>
      </c>
      <c r="H512" s="51">
        <f t="shared" si="5"/>
        <v>96000</v>
      </c>
    </row>
    <row r="513" spans="1:8" x14ac:dyDescent="0.25">
      <c r="A513" s="38">
        <f>+IF(B513="","",SUBTOTAL(3,$B$7:B513))</f>
        <v>507</v>
      </c>
      <c r="B513" s="40" t="s">
        <v>705</v>
      </c>
      <c r="C513" s="41">
        <v>45902</v>
      </c>
      <c r="D513" s="40" t="s">
        <v>699</v>
      </c>
      <c r="E513" s="38" t="s">
        <v>101</v>
      </c>
      <c r="F513" s="51">
        <v>30</v>
      </c>
      <c r="G513" s="51">
        <v>1111.1099999999999</v>
      </c>
      <c r="H513" s="51">
        <f t="shared" si="5"/>
        <v>33333.299999999996</v>
      </c>
    </row>
    <row r="514" spans="1:8" ht="30" x14ac:dyDescent="0.25">
      <c r="A514" s="38">
        <f>+IF(B514="","",SUBTOTAL(3,$B$7:B514))</f>
        <v>508</v>
      </c>
      <c r="B514" s="40" t="s">
        <v>449</v>
      </c>
      <c r="C514" s="41">
        <v>45904</v>
      </c>
      <c r="D514" s="40" t="s">
        <v>188</v>
      </c>
      <c r="E514" s="38" t="s">
        <v>101</v>
      </c>
      <c r="F514" s="51">
        <v>1</v>
      </c>
      <c r="G514" s="51">
        <v>36000</v>
      </c>
      <c r="H514" s="51">
        <f t="shared" si="5"/>
        <v>36000</v>
      </c>
    </row>
    <row r="515" spans="1:8" ht="30" x14ac:dyDescent="0.25">
      <c r="A515" s="38">
        <f>+IF(B515="","",SUBTOTAL(3,$B$7:B515))</f>
        <v>509</v>
      </c>
      <c r="B515" s="40" t="s">
        <v>449</v>
      </c>
      <c r="C515" s="41">
        <v>45904</v>
      </c>
      <c r="D515" s="40" t="s">
        <v>699</v>
      </c>
      <c r="E515" s="38" t="s">
        <v>101</v>
      </c>
      <c r="F515" s="51">
        <v>3</v>
      </c>
      <c r="G515" s="51">
        <v>1111.1099999999999</v>
      </c>
      <c r="H515" s="51">
        <f t="shared" si="5"/>
        <v>3333.33</v>
      </c>
    </row>
    <row r="516" spans="1:8" ht="30" x14ac:dyDescent="0.25">
      <c r="A516" s="38">
        <f>+IF(B516="","",SUBTOTAL(3,$B$7:B516))</f>
        <v>510</v>
      </c>
      <c r="B516" s="40" t="s">
        <v>449</v>
      </c>
      <c r="C516" s="41">
        <v>45904</v>
      </c>
      <c r="D516" s="40" t="s">
        <v>814</v>
      </c>
      <c r="E516" s="38" t="s">
        <v>101</v>
      </c>
      <c r="F516" s="51">
        <v>1</v>
      </c>
      <c r="G516" s="51">
        <v>1000</v>
      </c>
      <c r="H516" s="51">
        <f t="shared" si="5"/>
        <v>1000</v>
      </c>
    </row>
    <row r="517" spans="1:8" x14ac:dyDescent="0.25">
      <c r="A517" s="38">
        <f>+IF(B517="","",SUBTOTAL(3,$B$7:B517))</f>
        <v>511</v>
      </c>
      <c r="B517" s="40" t="s">
        <v>698</v>
      </c>
      <c r="C517" s="41">
        <v>45904</v>
      </c>
      <c r="D517" s="40" t="s">
        <v>699</v>
      </c>
      <c r="E517" s="38" t="s">
        <v>101</v>
      </c>
      <c r="F517" s="51">
        <v>4</v>
      </c>
      <c r="G517" s="51">
        <v>1111.1099999999999</v>
      </c>
      <c r="H517" s="51">
        <f t="shared" si="5"/>
        <v>4444.4399999999996</v>
      </c>
    </row>
    <row r="518" spans="1:8" x14ac:dyDescent="0.25">
      <c r="A518" s="38">
        <f>+IF(B518="","",SUBTOTAL(3,$B$7:B518))</f>
        <v>512</v>
      </c>
      <c r="B518" s="40" t="s">
        <v>698</v>
      </c>
      <c r="C518" s="41">
        <v>45904</v>
      </c>
      <c r="D518" s="40" t="s">
        <v>188</v>
      </c>
      <c r="E518" s="38" t="s">
        <v>101</v>
      </c>
      <c r="F518" s="51">
        <v>1</v>
      </c>
      <c r="G518" s="51">
        <v>36000</v>
      </c>
      <c r="H518" s="51">
        <f t="shared" si="5"/>
        <v>36000</v>
      </c>
    </row>
    <row r="519" spans="1:8" ht="45" x14ac:dyDescent="0.25">
      <c r="A519" s="38">
        <f>+IF(B519="","",SUBTOTAL(3,$B$7:B519))</f>
        <v>513</v>
      </c>
      <c r="B519" s="40" t="s">
        <v>698</v>
      </c>
      <c r="C519" s="41">
        <v>45904</v>
      </c>
      <c r="D519" s="40" t="s">
        <v>867</v>
      </c>
      <c r="E519" s="38" t="s">
        <v>101</v>
      </c>
      <c r="F519" s="51">
        <v>2</v>
      </c>
      <c r="G519" s="51">
        <v>2700</v>
      </c>
      <c r="H519" s="51">
        <f t="shared" si="5"/>
        <v>5400</v>
      </c>
    </row>
    <row r="520" spans="1:8" x14ac:dyDescent="0.25">
      <c r="A520" s="38">
        <f>+IF(B520="","",SUBTOTAL(3,$B$7:B520))</f>
        <v>514</v>
      </c>
      <c r="B520" s="40" t="s">
        <v>698</v>
      </c>
      <c r="C520" s="41">
        <v>45904</v>
      </c>
      <c r="D520" s="40" t="s">
        <v>208</v>
      </c>
      <c r="E520" s="38" t="s">
        <v>101</v>
      </c>
      <c r="F520" s="51">
        <v>1</v>
      </c>
      <c r="G520" s="51">
        <v>3333.33</v>
      </c>
      <c r="H520" s="51">
        <f t="shared" si="5"/>
        <v>3333.33</v>
      </c>
    </row>
    <row r="521" spans="1:8" x14ac:dyDescent="0.25">
      <c r="A521" s="38">
        <f>+IF(B521="","",SUBTOTAL(3,$B$7:B521))</f>
        <v>515</v>
      </c>
      <c r="B521" s="40" t="s">
        <v>698</v>
      </c>
      <c r="C521" s="41">
        <v>45904</v>
      </c>
      <c r="D521" s="40" t="s">
        <v>703</v>
      </c>
      <c r="E521" s="38" t="s">
        <v>101</v>
      </c>
      <c r="F521" s="51">
        <v>2</v>
      </c>
      <c r="G521" s="51">
        <v>9500</v>
      </c>
      <c r="H521" s="51">
        <f t="shared" si="5"/>
        <v>19000</v>
      </c>
    </row>
    <row r="522" spans="1:8" x14ac:dyDescent="0.25">
      <c r="A522" s="38">
        <f>+IF(B522="","",SUBTOTAL(3,$B$7:B522))</f>
        <v>516</v>
      </c>
      <c r="B522" s="40" t="s">
        <v>442</v>
      </c>
      <c r="C522" s="41">
        <v>45908</v>
      </c>
      <c r="D522" s="40" t="s">
        <v>699</v>
      </c>
      <c r="E522" s="38" t="s">
        <v>101</v>
      </c>
      <c r="F522" s="51">
        <v>6</v>
      </c>
      <c r="G522" s="51">
        <v>1111.1099999999999</v>
      </c>
      <c r="H522" s="51">
        <f t="shared" ref="H522:H585" si="6">+SUM(F522*G522)</f>
        <v>6666.66</v>
      </c>
    </row>
    <row r="523" spans="1:8" x14ac:dyDescent="0.25">
      <c r="A523" s="38">
        <f>+IF(B523="","",SUBTOTAL(3,$B$7:B523))</f>
        <v>517</v>
      </c>
      <c r="B523" s="40" t="s">
        <v>710</v>
      </c>
      <c r="C523" s="41">
        <v>45908</v>
      </c>
      <c r="D523" s="40" t="s">
        <v>711</v>
      </c>
      <c r="E523" s="38" t="s">
        <v>101</v>
      </c>
      <c r="F523" s="51">
        <v>4</v>
      </c>
      <c r="G523" s="51">
        <v>13668</v>
      </c>
      <c r="H523" s="51">
        <f t="shared" si="6"/>
        <v>54672</v>
      </c>
    </row>
    <row r="524" spans="1:8" x14ac:dyDescent="0.25">
      <c r="A524" s="38">
        <f>+IF(B524="","",SUBTOTAL(3,$B$7:B524))</f>
        <v>518</v>
      </c>
      <c r="B524" s="40" t="s">
        <v>442</v>
      </c>
      <c r="C524" s="41">
        <v>45908</v>
      </c>
      <c r="D524" s="40" t="s">
        <v>715</v>
      </c>
      <c r="E524" s="38" t="s">
        <v>140</v>
      </c>
      <c r="F524" s="51">
        <v>1</v>
      </c>
      <c r="G524" s="51">
        <v>19500</v>
      </c>
      <c r="H524" s="51">
        <f t="shared" si="6"/>
        <v>19500</v>
      </c>
    </row>
    <row r="525" spans="1:8" x14ac:dyDescent="0.25">
      <c r="A525" s="38">
        <f>+IF(B525="","",SUBTOTAL(3,$B$7:B525))</f>
        <v>519</v>
      </c>
      <c r="B525" s="40" t="s">
        <v>710</v>
      </c>
      <c r="C525" s="41">
        <v>45908</v>
      </c>
      <c r="D525" s="40" t="s">
        <v>712</v>
      </c>
      <c r="E525" s="38" t="s">
        <v>101</v>
      </c>
      <c r="F525" s="51">
        <v>5</v>
      </c>
      <c r="G525" s="51">
        <v>8800</v>
      </c>
      <c r="H525" s="51">
        <f t="shared" si="6"/>
        <v>44000</v>
      </c>
    </row>
    <row r="526" spans="1:8" ht="30" x14ac:dyDescent="0.25">
      <c r="A526" s="38">
        <f>+IF(B526="","",SUBTOTAL(3,$B$7:B526))</f>
        <v>520</v>
      </c>
      <c r="B526" s="40" t="s">
        <v>710</v>
      </c>
      <c r="C526" s="41">
        <v>45908</v>
      </c>
      <c r="D526" s="40" t="s">
        <v>866</v>
      </c>
      <c r="E526" s="38" t="s">
        <v>101</v>
      </c>
      <c r="F526" s="51">
        <v>2</v>
      </c>
      <c r="G526" s="51">
        <v>8092</v>
      </c>
      <c r="H526" s="51">
        <f t="shared" si="6"/>
        <v>16184</v>
      </c>
    </row>
    <row r="527" spans="1:8" ht="45" x14ac:dyDescent="0.25">
      <c r="A527" s="38">
        <f>+IF(B527="","",SUBTOTAL(3,$B$7:B527))</f>
        <v>521</v>
      </c>
      <c r="B527" s="40" t="s">
        <v>821</v>
      </c>
      <c r="C527" s="41">
        <v>45911</v>
      </c>
      <c r="D527" s="40" t="s">
        <v>699</v>
      </c>
      <c r="E527" s="38" t="s">
        <v>101</v>
      </c>
      <c r="F527" s="51">
        <v>3</v>
      </c>
      <c r="G527" s="51">
        <v>1111.1099999999999</v>
      </c>
      <c r="H527" s="51">
        <f t="shared" si="6"/>
        <v>3333.33</v>
      </c>
    </row>
    <row r="528" spans="1:8" ht="45" x14ac:dyDescent="0.25">
      <c r="A528" s="38">
        <f>+IF(B528="","",SUBTOTAL(3,$B$7:B528))</f>
        <v>522</v>
      </c>
      <c r="B528" s="40" t="s">
        <v>821</v>
      </c>
      <c r="C528" s="41">
        <v>45911</v>
      </c>
      <c r="D528" s="40" t="s">
        <v>188</v>
      </c>
      <c r="E528" s="38" t="s">
        <v>101</v>
      </c>
      <c r="F528" s="51">
        <v>1</v>
      </c>
      <c r="G528" s="51">
        <v>36000</v>
      </c>
      <c r="H528" s="51">
        <f t="shared" si="6"/>
        <v>36000</v>
      </c>
    </row>
    <row r="529" spans="1:8" x14ac:dyDescent="0.25">
      <c r="A529" s="38">
        <f>+IF(B529="","",SUBTOTAL(3,$B$7:B529))</f>
        <v>523</v>
      </c>
      <c r="B529" s="40" t="s">
        <v>442</v>
      </c>
      <c r="C529" s="41">
        <v>45911</v>
      </c>
      <c r="D529" s="40" t="s">
        <v>712</v>
      </c>
      <c r="E529" s="38" t="s">
        <v>101</v>
      </c>
      <c r="F529" s="51">
        <v>5</v>
      </c>
      <c r="G529" s="51">
        <v>8800</v>
      </c>
      <c r="H529" s="51">
        <f t="shared" si="6"/>
        <v>44000</v>
      </c>
    </row>
    <row r="530" spans="1:8" x14ac:dyDescent="0.25">
      <c r="A530" s="38">
        <f>+IF(B530="","",SUBTOTAL(3,$B$7:B530))</f>
        <v>524</v>
      </c>
      <c r="B530" s="40" t="s">
        <v>710</v>
      </c>
      <c r="C530" s="41">
        <v>45911</v>
      </c>
      <c r="D530" s="40" t="s">
        <v>862</v>
      </c>
      <c r="E530" s="38" t="s">
        <v>101</v>
      </c>
      <c r="F530" s="51">
        <v>4</v>
      </c>
      <c r="G530" s="51">
        <v>27000</v>
      </c>
      <c r="H530" s="51">
        <f t="shared" si="6"/>
        <v>108000</v>
      </c>
    </row>
    <row r="531" spans="1:8" ht="30" x14ac:dyDescent="0.25">
      <c r="A531" s="38">
        <f>+IF(B531="","",SUBTOTAL(3,$B$7:B531))</f>
        <v>525</v>
      </c>
      <c r="B531" s="40" t="s">
        <v>442</v>
      </c>
      <c r="C531" s="41">
        <v>45911</v>
      </c>
      <c r="D531" s="40" t="s">
        <v>866</v>
      </c>
      <c r="E531" s="38" t="s">
        <v>101</v>
      </c>
      <c r="F531" s="51">
        <v>2</v>
      </c>
      <c r="G531" s="51">
        <v>8092</v>
      </c>
      <c r="H531" s="51">
        <f t="shared" si="6"/>
        <v>16184</v>
      </c>
    </row>
    <row r="532" spans="1:8" x14ac:dyDescent="0.25">
      <c r="A532" s="38">
        <f>+IF(B532="","",SUBTOTAL(3,$B$7:B532))</f>
        <v>526</v>
      </c>
      <c r="B532" s="40" t="s">
        <v>442</v>
      </c>
      <c r="C532" s="41">
        <v>45911</v>
      </c>
      <c r="D532" s="40" t="s">
        <v>729</v>
      </c>
      <c r="E532" s="38" t="s">
        <v>101</v>
      </c>
      <c r="F532" s="51">
        <v>2</v>
      </c>
      <c r="G532" s="51">
        <v>55000</v>
      </c>
      <c r="H532" s="51">
        <f t="shared" si="6"/>
        <v>110000</v>
      </c>
    </row>
    <row r="533" spans="1:8" ht="30" x14ac:dyDescent="0.25">
      <c r="A533" s="38">
        <f>+IF(B533="","",SUBTOTAL(3,$B$7:B533))</f>
        <v>527</v>
      </c>
      <c r="B533" s="40" t="s">
        <v>698</v>
      </c>
      <c r="C533" s="41">
        <v>45917</v>
      </c>
      <c r="D533" s="40" t="s">
        <v>868</v>
      </c>
      <c r="E533" s="38" t="s">
        <v>101</v>
      </c>
      <c r="F533" s="51">
        <v>1</v>
      </c>
      <c r="G533" s="51">
        <v>8775.06</v>
      </c>
      <c r="H533" s="51">
        <f t="shared" si="6"/>
        <v>8775.06</v>
      </c>
    </row>
    <row r="534" spans="1:8" ht="30" x14ac:dyDescent="0.25">
      <c r="A534" s="38">
        <f>+IF(B534="","",SUBTOTAL(3,$B$7:B534))</f>
        <v>528</v>
      </c>
      <c r="B534" s="40" t="s">
        <v>442</v>
      </c>
      <c r="C534" s="41">
        <v>45923</v>
      </c>
      <c r="D534" s="40" t="s">
        <v>866</v>
      </c>
      <c r="E534" s="38" t="s">
        <v>101</v>
      </c>
      <c r="F534" s="51">
        <v>2</v>
      </c>
      <c r="G534" s="51">
        <v>8092</v>
      </c>
      <c r="H534" s="51">
        <f t="shared" si="6"/>
        <v>16184</v>
      </c>
    </row>
    <row r="535" spans="1:8" x14ac:dyDescent="0.25">
      <c r="A535" s="38">
        <f>+IF(B535="","",SUBTOTAL(3,$B$7:B535))</f>
        <v>529</v>
      </c>
      <c r="B535" s="40" t="s">
        <v>442</v>
      </c>
      <c r="C535" s="41">
        <v>45923</v>
      </c>
      <c r="D535" s="40" t="s">
        <v>712</v>
      </c>
      <c r="E535" s="38" t="s">
        <v>101</v>
      </c>
      <c r="F535" s="51">
        <v>5</v>
      </c>
      <c r="G535" s="51">
        <v>8800</v>
      </c>
      <c r="H535" s="51">
        <f t="shared" si="6"/>
        <v>44000</v>
      </c>
    </row>
    <row r="536" spans="1:8" x14ac:dyDescent="0.25">
      <c r="A536" s="38">
        <f>+IF(B536="","",SUBTOTAL(3,$B$7:B536))</f>
        <v>530</v>
      </c>
      <c r="B536" s="40" t="s">
        <v>442</v>
      </c>
      <c r="C536" s="41">
        <v>45923</v>
      </c>
      <c r="D536" s="40" t="s">
        <v>732</v>
      </c>
      <c r="E536" s="38" t="s">
        <v>132</v>
      </c>
      <c r="F536" s="51">
        <v>4</v>
      </c>
      <c r="G536" s="51">
        <v>5454</v>
      </c>
      <c r="H536" s="51">
        <f t="shared" si="6"/>
        <v>21816</v>
      </c>
    </row>
    <row r="537" spans="1:8" x14ac:dyDescent="0.25">
      <c r="A537" s="38">
        <f>+IF(B537="","",SUBTOTAL(3,$B$7:B537))</f>
        <v>531</v>
      </c>
      <c r="B537" s="40" t="s">
        <v>442</v>
      </c>
      <c r="C537" s="41">
        <v>45923</v>
      </c>
      <c r="D537" s="40" t="s">
        <v>143</v>
      </c>
      <c r="E537" s="38" t="s">
        <v>741</v>
      </c>
      <c r="F537" s="51">
        <v>4</v>
      </c>
      <c r="G537" s="51">
        <v>15000</v>
      </c>
      <c r="H537" s="51">
        <f t="shared" si="6"/>
        <v>60000</v>
      </c>
    </row>
    <row r="538" spans="1:8" x14ac:dyDescent="0.25">
      <c r="A538" s="38">
        <f>+IF(B538="","",SUBTOTAL(3,$B$7:B538))</f>
        <v>532</v>
      </c>
      <c r="B538" s="40" t="s">
        <v>442</v>
      </c>
      <c r="C538" s="41">
        <v>45923</v>
      </c>
      <c r="D538" s="40" t="s">
        <v>822</v>
      </c>
      <c r="E538" s="38" t="s">
        <v>101</v>
      </c>
      <c r="F538" s="51">
        <v>1</v>
      </c>
      <c r="G538" s="51">
        <v>16500</v>
      </c>
      <c r="H538" s="51">
        <f t="shared" si="6"/>
        <v>16500</v>
      </c>
    </row>
    <row r="539" spans="1:8" ht="30" x14ac:dyDescent="0.25">
      <c r="A539" s="38">
        <f>+IF(B539="","",SUBTOTAL(3,$B$7:B539))</f>
        <v>533</v>
      </c>
      <c r="B539" s="40" t="s">
        <v>442</v>
      </c>
      <c r="C539" s="41">
        <v>45923</v>
      </c>
      <c r="D539" s="40" t="s">
        <v>733</v>
      </c>
      <c r="E539" s="38" t="s">
        <v>101</v>
      </c>
      <c r="F539" s="51">
        <v>9</v>
      </c>
      <c r="G539" s="51">
        <v>6250</v>
      </c>
      <c r="H539" s="51">
        <f t="shared" si="6"/>
        <v>56250</v>
      </c>
    </row>
    <row r="540" spans="1:8" x14ac:dyDescent="0.25">
      <c r="A540" s="38">
        <f>+IF(B540="","",SUBTOTAL(3,$B$7:B540))</f>
        <v>534</v>
      </c>
      <c r="B540" s="40" t="s">
        <v>705</v>
      </c>
      <c r="C540" s="41">
        <v>45926</v>
      </c>
      <c r="D540" s="40" t="s">
        <v>811</v>
      </c>
      <c r="E540" s="38" t="s">
        <v>101</v>
      </c>
      <c r="F540" s="51">
        <v>20000</v>
      </c>
      <c r="G540" s="51">
        <v>19.8</v>
      </c>
      <c r="H540" s="51">
        <f t="shared" si="6"/>
        <v>396000</v>
      </c>
    </row>
    <row r="541" spans="1:8" x14ac:dyDescent="0.25">
      <c r="A541" s="38">
        <f>+IF(B541="","",SUBTOTAL(3,$B$7:B541))</f>
        <v>535</v>
      </c>
      <c r="B541" s="40" t="s">
        <v>705</v>
      </c>
      <c r="C541" s="41">
        <v>45926</v>
      </c>
      <c r="D541" s="40" t="s">
        <v>812</v>
      </c>
      <c r="E541" s="38" t="s">
        <v>101</v>
      </c>
      <c r="F541" s="51">
        <v>40000</v>
      </c>
      <c r="G541" s="51">
        <v>19.8</v>
      </c>
      <c r="H541" s="51">
        <f t="shared" si="6"/>
        <v>792000</v>
      </c>
    </row>
    <row r="542" spans="1:8" x14ac:dyDescent="0.25">
      <c r="A542" s="38">
        <f>+IF(B542="","",SUBTOTAL(3,$B$7:B542))</f>
        <v>536</v>
      </c>
      <c r="B542" s="40" t="s">
        <v>705</v>
      </c>
      <c r="C542" s="41">
        <v>45926</v>
      </c>
      <c r="D542" s="40" t="s">
        <v>765</v>
      </c>
      <c r="E542" s="38" t="s">
        <v>741</v>
      </c>
      <c r="F542" s="51">
        <v>10</v>
      </c>
      <c r="G542" s="51">
        <v>34000</v>
      </c>
      <c r="H542" s="51">
        <f t="shared" si="6"/>
        <v>340000</v>
      </c>
    </row>
    <row r="543" spans="1:8" x14ac:dyDescent="0.25">
      <c r="A543" s="38">
        <f>+IF(B543="","",SUBTOTAL(3,$B$7:B543))</f>
        <v>537</v>
      </c>
      <c r="B543" s="40" t="s">
        <v>705</v>
      </c>
      <c r="C543" s="41">
        <v>45926</v>
      </c>
      <c r="D543" s="40" t="s">
        <v>759</v>
      </c>
      <c r="E543" s="38" t="s">
        <v>707</v>
      </c>
      <c r="F543" s="51">
        <v>1</v>
      </c>
      <c r="G543" s="51">
        <v>615000</v>
      </c>
      <c r="H543" s="51">
        <f t="shared" si="6"/>
        <v>615000</v>
      </c>
    </row>
    <row r="544" spans="1:8" x14ac:dyDescent="0.25">
      <c r="A544" s="38">
        <f>+IF(B544="","",SUBTOTAL(3,$B$7:B544))</f>
        <v>538</v>
      </c>
      <c r="B544" s="40" t="s">
        <v>705</v>
      </c>
      <c r="C544" s="41">
        <v>45926</v>
      </c>
      <c r="D544" s="40" t="s">
        <v>100</v>
      </c>
      <c r="E544" s="38" t="s">
        <v>101</v>
      </c>
      <c r="F544" s="51">
        <v>10000</v>
      </c>
      <c r="G544" s="51">
        <v>140</v>
      </c>
      <c r="H544" s="51">
        <f t="shared" si="6"/>
        <v>1400000</v>
      </c>
    </row>
    <row r="545" spans="1:8" x14ac:dyDescent="0.25">
      <c r="A545" s="38">
        <f>+IF(B545="","",SUBTOTAL(3,$B$7:B545))</f>
        <v>539</v>
      </c>
      <c r="B545" s="40" t="s">
        <v>705</v>
      </c>
      <c r="C545" s="41">
        <v>45926</v>
      </c>
      <c r="D545" s="40" t="s">
        <v>703</v>
      </c>
      <c r="E545" s="38" t="s">
        <v>101</v>
      </c>
      <c r="F545" s="51">
        <v>2</v>
      </c>
      <c r="G545" s="51">
        <v>9500</v>
      </c>
      <c r="H545" s="51">
        <f t="shared" si="6"/>
        <v>19000</v>
      </c>
    </row>
    <row r="546" spans="1:8" x14ac:dyDescent="0.25">
      <c r="A546" s="38">
        <f>+IF(B546="","",SUBTOTAL(3,$B$7:B546))</f>
        <v>540</v>
      </c>
      <c r="B546" s="40" t="s">
        <v>705</v>
      </c>
      <c r="C546" s="41">
        <v>45926</v>
      </c>
      <c r="D546" s="40" t="s">
        <v>704</v>
      </c>
      <c r="E546" s="38" t="s">
        <v>101</v>
      </c>
      <c r="F546" s="51">
        <v>5</v>
      </c>
      <c r="G546" s="51">
        <v>64500</v>
      </c>
      <c r="H546" s="51">
        <f t="shared" si="6"/>
        <v>322500</v>
      </c>
    </row>
    <row r="547" spans="1:8" x14ac:dyDescent="0.25">
      <c r="A547" s="38">
        <f>+IF(B547="","",SUBTOTAL(3,$B$7:B547))</f>
        <v>541</v>
      </c>
      <c r="B547" s="40" t="s">
        <v>705</v>
      </c>
      <c r="C547" s="41">
        <v>45926</v>
      </c>
      <c r="D547" s="40" t="s">
        <v>706</v>
      </c>
      <c r="E547" s="38" t="s">
        <v>707</v>
      </c>
      <c r="F547" s="51">
        <v>10</v>
      </c>
      <c r="G547" s="51">
        <v>9900</v>
      </c>
      <c r="H547" s="51">
        <f t="shared" si="6"/>
        <v>99000</v>
      </c>
    </row>
    <row r="548" spans="1:8" x14ac:dyDescent="0.25">
      <c r="A548" s="38">
        <f>+IF(B548="","",SUBTOTAL(3,$B$7:B548))</f>
        <v>542</v>
      </c>
      <c r="B548" s="40" t="s">
        <v>451</v>
      </c>
      <c r="C548" s="41">
        <v>45936</v>
      </c>
      <c r="D548" s="40" t="s">
        <v>188</v>
      </c>
      <c r="E548" s="38" t="s">
        <v>101</v>
      </c>
      <c r="F548" s="51">
        <v>1</v>
      </c>
      <c r="G548" s="51">
        <v>36000</v>
      </c>
      <c r="H548" s="51">
        <f t="shared" si="6"/>
        <v>36000</v>
      </c>
    </row>
    <row r="549" spans="1:8" x14ac:dyDescent="0.25">
      <c r="A549" s="38">
        <f>+IF(B549="","",SUBTOTAL(3,$B$7:B549))</f>
        <v>543</v>
      </c>
      <c r="B549" s="40" t="s">
        <v>451</v>
      </c>
      <c r="C549" s="41">
        <v>45936</v>
      </c>
      <c r="D549" s="40" t="s">
        <v>709</v>
      </c>
      <c r="E549" s="38" t="s">
        <v>101</v>
      </c>
      <c r="F549" s="51">
        <v>1</v>
      </c>
      <c r="G549" s="51">
        <v>10000</v>
      </c>
      <c r="H549" s="51">
        <f t="shared" si="6"/>
        <v>10000</v>
      </c>
    </row>
    <row r="550" spans="1:8" x14ac:dyDescent="0.25">
      <c r="A550" s="38">
        <f>+IF(B550="","",SUBTOTAL(3,$B$7:B550))</f>
        <v>544</v>
      </c>
      <c r="B550" s="40" t="s">
        <v>451</v>
      </c>
      <c r="C550" s="41">
        <v>45936</v>
      </c>
      <c r="D550" s="40" t="s">
        <v>761</v>
      </c>
      <c r="E550" s="38" t="s">
        <v>741</v>
      </c>
      <c r="F550" s="51">
        <v>1</v>
      </c>
      <c r="G550" s="51">
        <v>157.94999999999999</v>
      </c>
      <c r="H550" s="51">
        <f t="shared" si="6"/>
        <v>157.94999999999999</v>
      </c>
    </row>
    <row r="551" spans="1:8" x14ac:dyDescent="0.25">
      <c r="A551" s="38">
        <f>+IF(B551="","",SUBTOTAL(3,$B$7:B551))</f>
        <v>545</v>
      </c>
      <c r="B551" s="40" t="s">
        <v>451</v>
      </c>
      <c r="C551" s="41">
        <v>45936</v>
      </c>
      <c r="D551" s="40" t="s">
        <v>772</v>
      </c>
      <c r="E551" s="38" t="s">
        <v>101</v>
      </c>
      <c r="F551" s="51">
        <v>200</v>
      </c>
      <c r="G551" s="51">
        <v>1188</v>
      </c>
      <c r="H551" s="51">
        <f t="shared" si="6"/>
        <v>237600</v>
      </c>
    </row>
    <row r="552" spans="1:8" ht="30" x14ac:dyDescent="0.25">
      <c r="A552" s="38">
        <f>+IF(B552="","",SUBTOTAL(3,$B$7:B552))</f>
        <v>546</v>
      </c>
      <c r="B552" s="40" t="s">
        <v>451</v>
      </c>
      <c r="C552" s="41">
        <v>45936</v>
      </c>
      <c r="D552" s="40" t="s">
        <v>718</v>
      </c>
      <c r="E552" s="38" t="s">
        <v>101</v>
      </c>
      <c r="F552" s="51">
        <v>100</v>
      </c>
      <c r="G552" s="51">
        <v>12992</v>
      </c>
      <c r="H552" s="51">
        <f t="shared" si="6"/>
        <v>1299200</v>
      </c>
    </row>
    <row r="553" spans="1:8" x14ac:dyDescent="0.25">
      <c r="A553" s="38">
        <f>+IF(B553="","",SUBTOTAL(3,$B$7:B553))</f>
        <v>547</v>
      </c>
      <c r="B553" s="40" t="s">
        <v>451</v>
      </c>
      <c r="C553" s="41">
        <v>45936</v>
      </c>
      <c r="D553" s="40" t="s">
        <v>762</v>
      </c>
      <c r="E553" s="38" t="s">
        <v>101</v>
      </c>
      <c r="F553" s="51">
        <v>100</v>
      </c>
      <c r="G553" s="51">
        <v>1904</v>
      </c>
      <c r="H553" s="51">
        <f t="shared" si="6"/>
        <v>190400</v>
      </c>
    </row>
    <row r="554" spans="1:8" ht="30" x14ac:dyDescent="0.25">
      <c r="A554" s="38">
        <f>+IF(B554="","",SUBTOTAL(3,$B$7:B554))</f>
        <v>548</v>
      </c>
      <c r="B554" s="40" t="s">
        <v>449</v>
      </c>
      <c r="C554" s="41">
        <v>45939</v>
      </c>
      <c r="D554" s="40" t="s">
        <v>823</v>
      </c>
      <c r="E554" s="38" t="s">
        <v>824</v>
      </c>
      <c r="F554" s="51">
        <v>1</v>
      </c>
      <c r="G554" s="51">
        <v>4190000</v>
      </c>
      <c r="H554" s="51">
        <f t="shared" si="6"/>
        <v>4190000</v>
      </c>
    </row>
    <row r="555" spans="1:8" x14ac:dyDescent="0.25">
      <c r="A555" s="38">
        <f>+IF(B555="","",SUBTOTAL(3,$B$7:B555))</f>
        <v>549</v>
      </c>
      <c r="B555" s="40" t="s">
        <v>710</v>
      </c>
      <c r="C555" s="41">
        <v>45939</v>
      </c>
      <c r="D555" s="40" t="s">
        <v>754</v>
      </c>
      <c r="E555" s="38" t="s">
        <v>101</v>
      </c>
      <c r="F555" s="51">
        <v>4</v>
      </c>
      <c r="G555" s="51">
        <v>4400</v>
      </c>
      <c r="H555" s="51">
        <f t="shared" si="6"/>
        <v>17600</v>
      </c>
    </row>
    <row r="556" spans="1:8" x14ac:dyDescent="0.25">
      <c r="A556" s="38">
        <f>+IF(B556="","",SUBTOTAL(3,$B$7:B556))</f>
        <v>550</v>
      </c>
      <c r="B556" s="40" t="s">
        <v>710</v>
      </c>
      <c r="C556" s="41">
        <v>45939</v>
      </c>
      <c r="D556" s="40" t="s">
        <v>712</v>
      </c>
      <c r="E556" s="38" t="s">
        <v>101</v>
      </c>
      <c r="F556" s="51">
        <v>5</v>
      </c>
      <c r="G556" s="51">
        <v>8800</v>
      </c>
      <c r="H556" s="51">
        <f t="shared" si="6"/>
        <v>44000</v>
      </c>
    </row>
    <row r="557" spans="1:8" x14ac:dyDescent="0.25">
      <c r="A557" s="38">
        <f>+IF(B557="","",SUBTOTAL(3,$B$7:B557))</f>
        <v>551</v>
      </c>
      <c r="B557" s="40" t="s">
        <v>442</v>
      </c>
      <c r="C557" s="41">
        <v>45939</v>
      </c>
      <c r="D557" s="40" t="s">
        <v>715</v>
      </c>
      <c r="E557" s="38" t="s">
        <v>140</v>
      </c>
      <c r="F557" s="51">
        <v>1</v>
      </c>
      <c r="G557" s="51">
        <v>19500</v>
      </c>
      <c r="H557" s="51">
        <f t="shared" si="6"/>
        <v>19500</v>
      </c>
    </row>
    <row r="558" spans="1:8" ht="30" x14ac:dyDescent="0.25">
      <c r="A558" s="38">
        <f>+IF(B558="","",SUBTOTAL(3,$B$7:B558))</f>
        <v>552</v>
      </c>
      <c r="B558" s="40" t="s">
        <v>710</v>
      </c>
      <c r="C558" s="41">
        <v>45939</v>
      </c>
      <c r="D558" s="40" t="s">
        <v>866</v>
      </c>
      <c r="E558" s="38" t="s">
        <v>101</v>
      </c>
      <c r="F558" s="51">
        <v>4</v>
      </c>
      <c r="G558" s="51">
        <v>8092</v>
      </c>
      <c r="H558" s="51">
        <f t="shared" si="6"/>
        <v>32368</v>
      </c>
    </row>
    <row r="559" spans="1:8" ht="30" x14ac:dyDescent="0.25">
      <c r="A559" s="38">
        <f>+IF(B559="","",SUBTOTAL(3,$B$7:B559))</f>
        <v>553</v>
      </c>
      <c r="B559" s="40" t="s">
        <v>710</v>
      </c>
      <c r="C559" s="41">
        <v>45939</v>
      </c>
      <c r="D559" s="40" t="s">
        <v>863</v>
      </c>
      <c r="E559" s="38" t="s">
        <v>753</v>
      </c>
      <c r="F559" s="51">
        <v>2</v>
      </c>
      <c r="G559" s="51">
        <v>7896</v>
      </c>
      <c r="H559" s="51">
        <f t="shared" si="6"/>
        <v>15792</v>
      </c>
    </row>
    <row r="560" spans="1:8" x14ac:dyDescent="0.25">
      <c r="A560" s="38">
        <f>+IF(B560="","",SUBTOTAL(3,$B$7:B560))</f>
        <v>554</v>
      </c>
      <c r="B560" s="40" t="s">
        <v>705</v>
      </c>
      <c r="C560" s="41">
        <v>45940</v>
      </c>
      <c r="D560" s="40" t="s">
        <v>810</v>
      </c>
      <c r="E560" s="38" t="s">
        <v>101</v>
      </c>
      <c r="F560" s="51">
        <v>20000</v>
      </c>
      <c r="G560" s="51">
        <v>19.8</v>
      </c>
      <c r="H560" s="51">
        <f t="shared" si="6"/>
        <v>396000</v>
      </c>
    </row>
    <row r="561" spans="1:8" x14ac:dyDescent="0.25">
      <c r="A561" s="38">
        <f>+IF(B561="","",SUBTOTAL(3,$B$7:B561))</f>
        <v>555</v>
      </c>
      <c r="B561" s="40" t="s">
        <v>705</v>
      </c>
      <c r="C561" s="41">
        <v>45940</v>
      </c>
      <c r="D561" s="40" t="s">
        <v>811</v>
      </c>
      <c r="E561" s="38" t="s">
        <v>101</v>
      </c>
      <c r="F561" s="51">
        <v>20000</v>
      </c>
      <c r="G561" s="51">
        <v>19.8</v>
      </c>
      <c r="H561" s="51">
        <f t="shared" si="6"/>
        <v>396000</v>
      </c>
    </row>
    <row r="562" spans="1:8" x14ac:dyDescent="0.25">
      <c r="A562" s="38">
        <f>+IF(B562="","",SUBTOTAL(3,$B$7:B562))</f>
        <v>556</v>
      </c>
      <c r="B562" s="40" t="s">
        <v>705</v>
      </c>
      <c r="C562" s="41">
        <v>45940</v>
      </c>
      <c r="D562" s="40" t="s">
        <v>812</v>
      </c>
      <c r="E562" s="38" t="s">
        <v>101</v>
      </c>
      <c r="F562" s="51">
        <v>30000</v>
      </c>
      <c r="G562" s="51">
        <v>19.8</v>
      </c>
      <c r="H562" s="51">
        <f t="shared" si="6"/>
        <v>594000</v>
      </c>
    </row>
    <row r="563" spans="1:8" x14ac:dyDescent="0.25">
      <c r="A563" s="38">
        <f>+IF(B563="","",SUBTOTAL(3,$B$7:B563))</f>
        <v>557</v>
      </c>
      <c r="B563" s="40" t="s">
        <v>705</v>
      </c>
      <c r="C563" s="41">
        <v>45940</v>
      </c>
      <c r="D563" s="40" t="s">
        <v>802</v>
      </c>
      <c r="E563" s="38" t="s">
        <v>101</v>
      </c>
      <c r="F563" s="51">
        <v>7000</v>
      </c>
      <c r="G563" s="51">
        <v>34.950000000000003</v>
      </c>
      <c r="H563" s="51">
        <f t="shared" si="6"/>
        <v>244650.00000000003</v>
      </c>
    </row>
    <row r="564" spans="1:8" x14ac:dyDescent="0.25">
      <c r="A564" s="38">
        <f>+IF(B564="","",SUBTOTAL(3,$B$7:B564))</f>
        <v>558</v>
      </c>
      <c r="B564" s="40" t="s">
        <v>705</v>
      </c>
      <c r="C564" s="41">
        <v>45940</v>
      </c>
      <c r="D564" s="40" t="s">
        <v>229</v>
      </c>
      <c r="E564" s="38" t="s">
        <v>741</v>
      </c>
      <c r="F564" s="51">
        <v>10</v>
      </c>
      <c r="G564" s="51">
        <v>26500</v>
      </c>
      <c r="H564" s="51">
        <f t="shared" si="6"/>
        <v>265000</v>
      </c>
    </row>
    <row r="565" spans="1:8" x14ac:dyDescent="0.25">
      <c r="A565" s="38">
        <f>+IF(B565="","",SUBTOTAL(3,$B$7:B565))</f>
        <v>559</v>
      </c>
      <c r="B565" s="40" t="s">
        <v>705</v>
      </c>
      <c r="C565" s="41">
        <v>45940</v>
      </c>
      <c r="D565" s="40" t="s">
        <v>700</v>
      </c>
      <c r="E565" s="38" t="s">
        <v>101</v>
      </c>
      <c r="F565" s="51">
        <v>30</v>
      </c>
      <c r="G565" s="51">
        <v>1710</v>
      </c>
      <c r="H565" s="51">
        <f t="shared" si="6"/>
        <v>51300</v>
      </c>
    </row>
    <row r="566" spans="1:8" x14ac:dyDescent="0.25">
      <c r="A566" s="38">
        <f>+IF(B566="","",SUBTOTAL(3,$B$7:B566))</f>
        <v>560</v>
      </c>
      <c r="B566" s="40" t="s">
        <v>705</v>
      </c>
      <c r="C566" s="41">
        <v>45940</v>
      </c>
      <c r="D566" s="40" t="s">
        <v>699</v>
      </c>
      <c r="E566" s="38" t="s">
        <v>101</v>
      </c>
      <c r="F566" s="51">
        <v>30</v>
      </c>
      <c r="G566" s="51">
        <v>1111.1099999999999</v>
      </c>
      <c r="H566" s="51">
        <f t="shared" si="6"/>
        <v>33333.299999999996</v>
      </c>
    </row>
    <row r="567" spans="1:8" x14ac:dyDescent="0.25">
      <c r="A567" s="38">
        <f>+IF(B567="","",SUBTOTAL(3,$B$7:B567))</f>
        <v>561</v>
      </c>
      <c r="B567" s="40" t="s">
        <v>705</v>
      </c>
      <c r="C567" s="41">
        <v>45940</v>
      </c>
      <c r="D567" s="40" t="s">
        <v>208</v>
      </c>
      <c r="E567" s="38" t="s">
        <v>101</v>
      </c>
      <c r="F567" s="51">
        <v>3</v>
      </c>
      <c r="G567" s="51">
        <v>3333.33</v>
      </c>
      <c r="H567" s="51">
        <f t="shared" si="6"/>
        <v>9999.99</v>
      </c>
    </row>
    <row r="568" spans="1:8" ht="60" x14ac:dyDescent="0.25">
      <c r="A568" s="38">
        <f>+IF(B568="","",SUBTOTAL(3,$B$7:B568))</f>
        <v>562</v>
      </c>
      <c r="B568" s="40" t="s">
        <v>705</v>
      </c>
      <c r="C568" s="41">
        <v>45940</v>
      </c>
      <c r="D568" s="40" t="s">
        <v>859</v>
      </c>
      <c r="E568" s="38" t="s">
        <v>132</v>
      </c>
      <c r="F568" s="51">
        <v>5</v>
      </c>
      <c r="G568" s="51">
        <v>2150</v>
      </c>
      <c r="H568" s="51">
        <f t="shared" si="6"/>
        <v>10750</v>
      </c>
    </row>
    <row r="569" spans="1:8" x14ac:dyDescent="0.25">
      <c r="A569" s="38">
        <f>+IF(B569="","",SUBTOTAL(3,$B$7:B569))</f>
        <v>563</v>
      </c>
      <c r="B569" s="40" t="s">
        <v>698</v>
      </c>
      <c r="C569" s="41">
        <v>45940</v>
      </c>
      <c r="D569" s="40" t="s">
        <v>699</v>
      </c>
      <c r="E569" s="38" t="s">
        <v>101</v>
      </c>
      <c r="F569" s="51">
        <v>10</v>
      </c>
      <c r="G569" s="51">
        <v>1111.1099999999999</v>
      </c>
      <c r="H569" s="51">
        <f t="shared" si="6"/>
        <v>11111.099999999999</v>
      </c>
    </row>
    <row r="570" spans="1:8" x14ac:dyDescent="0.25">
      <c r="A570" s="38">
        <f>+IF(B570="","",SUBTOTAL(3,$B$7:B570))</f>
        <v>564</v>
      </c>
      <c r="B570" s="40" t="s">
        <v>698</v>
      </c>
      <c r="C570" s="41">
        <v>45940</v>
      </c>
      <c r="D570" s="40" t="s">
        <v>740</v>
      </c>
      <c r="E570" s="38" t="s">
        <v>741</v>
      </c>
      <c r="F570" s="51">
        <v>20.3</v>
      </c>
      <c r="G570" s="51">
        <v>23000</v>
      </c>
      <c r="H570" s="51">
        <f t="shared" si="6"/>
        <v>466900</v>
      </c>
    </row>
    <row r="571" spans="1:8" ht="30" x14ac:dyDescent="0.25">
      <c r="A571" s="38">
        <f>+IF(B571="","",SUBTOTAL(3,$B$7:B571))</f>
        <v>565</v>
      </c>
      <c r="B571" s="40" t="s">
        <v>698</v>
      </c>
      <c r="C571" s="41">
        <v>45940</v>
      </c>
      <c r="D571" s="40" t="s">
        <v>701</v>
      </c>
      <c r="E571" s="38" t="s">
        <v>101</v>
      </c>
      <c r="F571" s="51">
        <v>2</v>
      </c>
      <c r="G571" s="51">
        <v>19600</v>
      </c>
      <c r="H571" s="51">
        <f t="shared" si="6"/>
        <v>39200</v>
      </c>
    </row>
    <row r="572" spans="1:8" x14ac:dyDescent="0.25">
      <c r="A572" s="38">
        <f>+IF(B572="","",SUBTOTAL(3,$B$7:B572))</f>
        <v>566</v>
      </c>
      <c r="B572" s="40" t="s">
        <v>698</v>
      </c>
      <c r="C572" s="41">
        <v>45940</v>
      </c>
      <c r="D572" s="40" t="s">
        <v>703</v>
      </c>
      <c r="E572" s="38" t="s">
        <v>101</v>
      </c>
      <c r="F572" s="51">
        <v>3</v>
      </c>
      <c r="G572" s="51">
        <v>9500</v>
      </c>
      <c r="H572" s="51">
        <f t="shared" si="6"/>
        <v>28500</v>
      </c>
    </row>
    <row r="573" spans="1:8" x14ac:dyDescent="0.25">
      <c r="A573" s="38">
        <f>+IF(B573="","",SUBTOTAL(3,$B$7:B573))</f>
        <v>567</v>
      </c>
      <c r="B573" s="40" t="s">
        <v>698</v>
      </c>
      <c r="C573" s="41">
        <v>45940</v>
      </c>
      <c r="D573" s="40" t="s">
        <v>769</v>
      </c>
      <c r="E573" s="38" t="s">
        <v>140</v>
      </c>
      <c r="F573" s="51">
        <v>1</v>
      </c>
      <c r="G573" s="51">
        <v>3800</v>
      </c>
      <c r="H573" s="51">
        <f t="shared" si="6"/>
        <v>3800</v>
      </c>
    </row>
    <row r="574" spans="1:8" ht="45" x14ac:dyDescent="0.25">
      <c r="A574" s="38">
        <f>+IF(B574="","",SUBTOTAL(3,$B$7:B574))</f>
        <v>568</v>
      </c>
      <c r="B574" s="40" t="s">
        <v>698</v>
      </c>
      <c r="C574" s="41">
        <v>45940</v>
      </c>
      <c r="D574" s="40" t="s">
        <v>867</v>
      </c>
      <c r="E574" s="38" t="s">
        <v>101</v>
      </c>
      <c r="F574" s="51">
        <v>4</v>
      </c>
      <c r="G574" s="51">
        <v>2700</v>
      </c>
      <c r="H574" s="51">
        <f t="shared" si="6"/>
        <v>10800</v>
      </c>
    </row>
    <row r="575" spans="1:8" x14ac:dyDescent="0.25">
      <c r="A575" s="38">
        <f>+IF(B575="","",SUBTOTAL(3,$B$7:B575))</f>
        <v>569</v>
      </c>
      <c r="B575" s="40" t="s">
        <v>698</v>
      </c>
      <c r="C575" s="41">
        <v>45940</v>
      </c>
      <c r="D575" s="40" t="s">
        <v>700</v>
      </c>
      <c r="E575" s="38" t="s">
        <v>101</v>
      </c>
      <c r="F575" s="51">
        <v>60</v>
      </c>
      <c r="G575" s="51">
        <v>1710</v>
      </c>
      <c r="H575" s="51">
        <f t="shared" si="6"/>
        <v>102600</v>
      </c>
    </row>
    <row r="576" spans="1:8" x14ac:dyDescent="0.25">
      <c r="A576" s="38">
        <f>+IF(B576="","",SUBTOTAL(3,$B$7:B576))</f>
        <v>570</v>
      </c>
      <c r="B576" s="40" t="s">
        <v>698</v>
      </c>
      <c r="C576" s="41">
        <v>45940</v>
      </c>
      <c r="D576" s="40" t="s">
        <v>825</v>
      </c>
      <c r="E576" s="38" t="s">
        <v>101</v>
      </c>
      <c r="F576" s="51">
        <v>3</v>
      </c>
      <c r="G576" s="51">
        <v>1950</v>
      </c>
      <c r="H576" s="51">
        <f t="shared" si="6"/>
        <v>5850</v>
      </c>
    </row>
    <row r="577" spans="1:8" x14ac:dyDescent="0.25">
      <c r="A577" s="38">
        <f>+IF(B577="","",SUBTOTAL(3,$B$7:B577))</f>
        <v>571</v>
      </c>
      <c r="B577" s="40" t="s">
        <v>698</v>
      </c>
      <c r="C577" s="41">
        <v>45940</v>
      </c>
      <c r="D577" s="40" t="s">
        <v>736</v>
      </c>
      <c r="E577" s="38" t="s">
        <v>140</v>
      </c>
      <c r="F577" s="51">
        <v>2</v>
      </c>
      <c r="G577" s="51">
        <v>4000</v>
      </c>
      <c r="H577" s="51">
        <f t="shared" si="6"/>
        <v>8000</v>
      </c>
    </row>
    <row r="578" spans="1:8" x14ac:dyDescent="0.25">
      <c r="A578" s="38">
        <f>+IF(B578="","",SUBTOTAL(3,$B$7:B578))</f>
        <v>572</v>
      </c>
      <c r="B578" s="40" t="s">
        <v>451</v>
      </c>
      <c r="C578" s="41">
        <v>45945</v>
      </c>
      <c r="D578" s="40" t="s">
        <v>826</v>
      </c>
      <c r="E578" s="38" t="s">
        <v>101</v>
      </c>
      <c r="F578" s="51">
        <v>100</v>
      </c>
      <c r="G578" s="51">
        <v>8400</v>
      </c>
      <c r="H578" s="51">
        <f t="shared" si="6"/>
        <v>840000</v>
      </c>
    </row>
    <row r="579" spans="1:8" x14ac:dyDescent="0.25">
      <c r="A579" s="38">
        <f>+IF(B579="","",SUBTOTAL(3,$B$7:B579))</f>
        <v>573</v>
      </c>
      <c r="B579" s="40" t="s">
        <v>451</v>
      </c>
      <c r="C579" s="41">
        <v>45945</v>
      </c>
      <c r="D579" s="40" t="s">
        <v>827</v>
      </c>
      <c r="E579" s="38" t="s">
        <v>101</v>
      </c>
      <c r="F579" s="51">
        <v>100</v>
      </c>
      <c r="G579" s="51">
        <v>3100</v>
      </c>
      <c r="H579" s="51">
        <f t="shared" si="6"/>
        <v>310000</v>
      </c>
    </row>
    <row r="580" spans="1:8" x14ac:dyDescent="0.25">
      <c r="A580" s="38">
        <f>+IF(B580="","",SUBTOTAL(3,$B$7:B580))</f>
        <v>574</v>
      </c>
      <c r="B580" s="40" t="s">
        <v>451</v>
      </c>
      <c r="C580" s="41">
        <v>45945</v>
      </c>
      <c r="D580" s="40" t="s">
        <v>828</v>
      </c>
      <c r="E580" s="38" t="s">
        <v>101</v>
      </c>
      <c r="F580" s="51">
        <v>100</v>
      </c>
      <c r="G580" s="51">
        <v>1000</v>
      </c>
      <c r="H580" s="51">
        <f t="shared" si="6"/>
        <v>100000</v>
      </c>
    </row>
    <row r="581" spans="1:8" x14ac:dyDescent="0.25">
      <c r="A581" s="38">
        <f>+IF(B581="","",SUBTOTAL(3,$B$7:B581))</f>
        <v>575</v>
      </c>
      <c r="B581" s="40" t="s">
        <v>451</v>
      </c>
      <c r="C581" s="41">
        <v>45945</v>
      </c>
      <c r="D581" s="40" t="s">
        <v>829</v>
      </c>
      <c r="E581" s="38" t="s">
        <v>101</v>
      </c>
      <c r="F581" s="51">
        <v>100</v>
      </c>
      <c r="G581" s="51">
        <v>960</v>
      </c>
      <c r="H581" s="51">
        <f t="shared" si="6"/>
        <v>96000</v>
      </c>
    </row>
    <row r="582" spans="1:8" x14ac:dyDescent="0.25">
      <c r="A582" s="38">
        <f>+IF(B582="","",SUBTOTAL(3,$B$7:B582))</f>
        <v>576</v>
      </c>
      <c r="B582" s="40" t="s">
        <v>442</v>
      </c>
      <c r="C582" s="41">
        <v>45945</v>
      </c>
      <c r="D582" s="40" t="s">
        <v>712</v>
      </c>
      <c r="E582" s="38" t="s">
        <v>101</v>
      </c>
      <c r="F582" s="51">
        <v>1</v>
      </c>
      <c r="G582" s="51">
        <v>8800</v>
      </c>
      <c r="H582" s="51">
        <f t="shared" si="6"/>
        <v>8800</v>
      </c>
    </row>
    <row r="583" spans="1:8" x14ac:dyDescent="0.25">
      <c r="A583" s="38">
        <f>+IF(B583="","",SUBTOTAL(3,$B$7:B583))</f>
        <v>577</v>
      </c>
      <c r="B583" s="40" t="s">
        <v>442</v>
      </c>
      <c r="C583" s="41">
        <v>45945</v>
      </c>
      <c r="D583" s="40" t="s">
        <v>143</v>
      </c>
      <c r="E583" s="38" t="s">
        <v>741</v>
      </c>
      <c r="F583" s="51">
        <v>5</v>
      </c>
      <c r="G583" s="51">
        <v>15000</v>
      </c>
      <c r="H583" s="51">
        <f t="shared" si="6"/>
        <v>75000</v>
      </c>
    </row>
    <row r="584" spans="1:8" ht="60" x14ac:dyDescent="0.25">
      <c r="A584" s="38">
        <f>+IF(B584="","",SUBTOTAL(3,$B$7:B584))</f>
        <v>578</v>
      </c>
      <c r="B584" s="40" t="s">
        <v>442</v>
      </c>
      <c r="C584" s="41">
        <v>45945</v>
      </c>
      <c r="D584" s="40" t="s">
        <v>859</v>
      </c>
      <c r="E584" s="38" t="s">
        <v>132</v>
      </c>
      <c r="F584" s="51">
        <v>4</v>
      </c>
      <c r="G584" s="51">
        <v>2150</v>
      </c>
      <c r="H584" s="51">
        <f t="shared" si="6"/>
        <v>8600</v>
      </c>
    </row>
    <row r="585" spans="1:8" x14ac:dyDescent="0.25">
      <c r="A585" s="38">
        <f>+IF(B585="","",SUBTOTAL(3,$B$7:B585))</f>
        <v>579</v>
      </c>
      <c r="B585" s="40" t="s">
        <v>442</v>
      </c>
      <c r="C585" s="41">
        <v>45945</v>
      </c>
      <c r="D585" s="40" t="s">
        <v>804</v>
      </c>
      <c r="E585" s="38" t="s">
        <v>101</v>
      </c>
      <c r="F585" s="51">
        <v>2</v>
      </c>
      <c r="G585" s="51">
        <v>36999</v>
      </c>
      <c r="H585" s="51">
        <f t="shared" si="6"/>
        <v>73998</v>
      </c>
    </row>
    <row r="586" spans="1:8" x14ac:dyDescent="0.25">
      <c r="A586" s="38">
        <f>+IF(B586="","",SUBTOTAL(3,$B$7:B586))</f>
        <v>580</v>
      </c>
      <c r="B586" s="40" t="s">
        <v>442</v>
      </c>
      <c r="C586" s="41">
        <v>45945</v>
      </c>
      <c r="D586" s="40" t="s">
        <v>714</v>
      </c>
      <c r="E586" s="38" t="s">
        <v>101</v>
      </c>
      <c r="F586" s="51">
        <v>1</v>
      </c>
      <c r="G586" s="51">
        <v>20000</v>
      </c>
      <c r="H586" s="51">
        <f t="shared" ref="H586:H649" si="7">+SUM(F586*G586)</f>
        <v>20000</v>
      </c>
    </row>
    <row r="587" spans="1:8" x14ac:dyDescent="0.25">
      <c r="A587" s="38">
        <f>+IF(B587="","",SUBTOTAL(3,$B$7:B587))</f>
        <v>581</v>
      </c>
      <c r="B587" s="40" t="s">
        <v>442</v>
      </c>
      <c r="C587" s="41">
        <v>45945</v>
      </c>
      <c r="D587" s="40" t="s">
        <v>729</v>
      </c>
      <c r="E587" s="38" t="s">
        <v>101</v>
      </c>
      <c r="F587" s="51">
        <v>1</v>
      </c>
      <c r="G587" s="51">
        <v>55000</v>
      </c>
      <c r="H587" s="51">
        <f t="shared" si="7"/>
        <v>55000</v>
      </c>
    </row>
    <row r="588" spans="1:8" ht="30" x14ac:dyDescent="0.25">
      <c r="A588" s="38">
        <f>+IF(B588="","",SUBTOTAL(3,$B$7:B588))</f>
        <v>582</v>
      </c>
      <c r="B588" s="40" t="s">
        <v>442</v>
      </c>
      <c r="C588" s="41">
        <v>45945</v>
      </c>
      <c r="D588" s="40" t="s">
        <v>803</v>
      </c>
      <c r="E588" s="38" t="s">
        <v>101</v>
      </c>
      <c r="F588" s="51">
        <v>2</v>
      </c>
      <c r="G588" s="51">
        <v>8589</v>
      </c>
      <c r="H588" s="51">
        <f t="shared" si="7"/>
        <v>17178</v>
      </c>
    </row>
    <row r="589" spans="1:8" x14ac:dyDescent="0.25">
      <c r="A589" s="38">
        <f>+IF(B589="","",SUBTOTAL(3,$B$7:B589))</f>
        <v>583</v>
      </c>
      <c r="B589" s="40" t="s">
        <v>442</v>
      </c>
      <c r="C589" s="41">
        <v>45945</v>
      </c>
      <c r="D589" s="40" t="s">
        <v>732</v>
      </c>
      <c r="E589" s="38" t="s">
        <v>132</v>
      </c>
      <c r="F589" s="51">
        <v>4</v>
      </c>
      <c r="G589" s="51">
        <v>5454</v>
      </c>
      <c r="H589" s="51">
        <f t="shared" si="7"/>
        <v>21816</v>
      </c>
    </row>
    <row r="590" spans="1:8" ht="30" x14ac:dyDescent="0.25">
      <c r="A590" s="38">
        <f>+IF(B590="","",SUBTOTAL(3,$B$7:B590))</f>
        <v>584</v>
      </c>
      <c r="B590" s="40" t="s">
        <v>442</v>
      </c>
      <c r="C590" s="41">
        <v>45945</v>
      </c>
      <c r="D590" s="40" t="s">
        <v>727</v>
      </c>
      <c r="E590" s="38" t="s">
        <v>101</v>
      </c>
      <c r="F590" s="51">
        <v>3</v>
      </c>
      <c r="G590" s="51">
        <v>4800</v>
      </c>
      <c r="H590" s="51">
        <f t="shared" si="7"/>
        <v>14400</v>
      </c>
    </row>
    <row r="591" spans="1:8" x14ac:dyDescent="0.25">
      <c r="A591" s="38">
        <f>+IF(B591="","",SUBTOTAL(3,$B$7:B591))</f>
        <v>585</v>
      </c>
      <c r="B591" s="40" t="s">
        <v>442</v>
      </c>
      <c r="C591" s="41">
        <v>45945</v>
      </c>
      <c r="D591" s="40" t="s">
        <v>730</v>
      </c>
      <c r="E591" s="38" t="s">
        <v>101</v>
      </c>
      <c r="F591" s="51">
        <v>2</v>
      </c>
      <c r="G591" s="51">
        <v>23000</v>
      </c>
      <c r="H591" s="51">
        <f t="shared" si="7"/>
        <v>46000</v>
      </c>
    </row>
    <row r="592" spans="1:8" x14ac:dyDescent="0.25">
      <c r="A592" s="38">
        <f>+IF(B592="","",SUBTOTAL(3,$B$7:B592))</f>
        <v>586</v>
      </c>
      <c r="B592" s="40" t="s">
        <v>710</v>
      </c>
      <c r="C592" s="41">
        <v>45945</v>
      </c>
      <c r="D592" s="40" t="s">
        <v>711</v>
      </c>
      <c r="E592" s="38" t="s">
        <v>101</v>
      </c>
      <c r="F592" s="51">
        <v>1</v>
      </c>
      <c r="G592" s="51">
        <v>13668</v>
      </c>
      <c r="H592" s="51">
        <f t="shared" si="7"/>
        <v>13668</v>
      </c>
    </row>
    <row r="593" spans="1:8" ht="30" x14ac:dyDescent="0.25">
      <c r="A593" s="38">
        <f>+IF(B593="","",SUBTOTAL(3,$B$7:B593))</f>
        <v>587</v>
      </c>
      <c r="B593" s="40" t="s">
        <v>442</v>
      </c>
      <c r="C593" s="41">
        <v>45950</v>
      </c>
      <c r="D593" s="40" t="s">
        <v>830</v>
      </c>
      <c r="E593" s="38" t="s">
        <v>101</v>
      </c>
      <c r="F593" s="51">
        <v>10</v>
      </c>
      <c r="G593" s="51">
        <v>24999</v>
      </c>
      <c r="H593" s="51">
        <f t="shared" si="7"/>
        <v>249990</v>
      </c>
    </row>
    <row r="594" spans="1:8" x14ac:dyDescent="0.25">
      <c r="A594" s="38">
        <f>+IF(B594="","",SUBTOTAL(3,$B$7:B594))</f>
        <v>588</v>
      </c>
      <c r="B594" s="40" t="s">
        <v>442</v>
      </c>
      <c r="C594" s="41">
        <v>45950</v>
      </c>
      <c r="D594" s="40" t="s">
        <v>715</v>
      </c>
      <c r="E594" s="38" t="s">
        <v>140</v>
      </c>
      <c r="F594" s="51">
        <v>2</v>
      </c>
      <c r="G594" s="51">
        <v>19500</v>
      </c>
      <c r="H594" s="51">
        <f t="shared" si="7"/>
        <v>39000</v>
      </c>
    </row>
    <row r="595" spans="1:8" x14ac:dyDescent="0.25">
      <c r="A595" s="38">
        <f>+IF(B595="","",SUBTOTAL(3,$B$7:B595))</f>
        <v>589</v>
      </c>
      <c r="B595" s="40" t="s">
        <v>442</v>
      </c>
      <c r="C595" s="41">
        <v>45950</v>
      </c>
      <c r="D595" s="40" t="s">
        <v>860</v>
      </c>
      <c r="E595" s="38" t="s">
        <v>101</v>
      </c>
      <c r="F595" s="51">
        <v>1</v>
      </c>
      <c r="G595" s="51">
        <v>90000</v>
      </c>
      <c r="H595" s="51">
        <f t="shared" si="7"/>
        <v>90000</v>
      </c>
    </row>
    <row r="596" spans="1:8" ht="30" x14ac:dyDescent="0.25">
      <c r="A596" s="38">
        <f>+IF(B596="","",SUBTOTAL(3,$B$7:B596))</f>
        <v>590</v>
      </c>
      <c r="B596" s="40" t="s">
        <v>442</v>
      </c>
      <c r="C596" s="41">
        <v>45950</v>
      </c>
      <c r="D596" s="40" t="s">
        <v>831</v>
      </c>
      <c r="E596" s="38" t="s">
        <v>753</v>
      </c>
      <c r="F596" s="51">
        <v>5</v>
      </c>
      <c r="G596" s="51">
        <v>13104</v>
      </c>
      <c r="H596" s="51">
        <f t="shared" si="7"/>
        <v>65520</v>
      </c>
    </row>
    <row r="597" spans="1:8" x14ac:dyDescent="0.25">
      <c r="A597" s="38">
        <f>+IF(B597="","",SUBTOTAL(3,$B$7:B597))</f>
        <v>591</v>
      </c>
      <c r="B597" s="40" t="s">
        <v>442</v>
      </c>
      <c r="C597" s="41">
        <v>45950</v>
      </c>
      <c r="D597" s="40" t="s">
        <v>714</v>
      </c>
      <c r="E597" s="38" t="s">
        <v>101</v>
      </c>
      <c r="F597" s="51">
        <v>2</v>
      </c>
      <c r="G597" s="51">
        <v>20000</v>
      </c>
      <c r="H597" s="51">
        <f t="shared" si="7"/>
        <v>40000</v>
      </c>
    </row>
    <row r="598" spans="1:8" ht="30" x14ac:dyDescent="0.25">
      <c r="A598" s="38">
        <f>+IF(B598="","",SUBTOTAL(3,$B$7:B598))</f>
        <v>592</v>
      </c>
      <c r="B598" s="40" t="s">
        <v>442</v>
      </c>
      <c r="C598" s="41">
        <v>45950</v>
      </c>
      <c r="D598" s="40" t="s">
        <v>866</v>
      </c>
      <c r="E598" s="38" t="s">
        <v>101</v>
      </c>
      <c r="F598" s="51">
        <v>2</v>
      </c>
      <c r="G598" s="51">
        <v>8092</v>
      </c>
      <c r="H598" s="51">
        <f t="shared" si="7"/>
        <v>16184</v>
      </c>
    </row>
    <row r="599" spans="1:8" x14ac:dyDescent="0.25">
      <c r="A599" s="38">
        <f>+IF(B599="","",SUBTOTAL(3,$B$7:B599))</f>
        <v>593</v>
      </c>
      <c r="B599" s="40" t="s">
        <v>442</v>
      </c>
      <c r="C599" s="41">
        <v>45950</v>
      </c>
      <c r="D599" s="40" t="s">
        <v>832</v>
      </c>
      <c r="E599" s="38" t="s">
        <v>101</v>
      </c>
      <c r="F599" s="51">
        <v>9</v>
      </c>
      <c r="G599" s="51">
        <v>31000</v>
      </c>
      <c r="H599" s="51">
        <f t="shared" si="7"/>
        <v>279000</v>
      </c>
    </row>
    <row r="600" spans="1:8" x14ac:dyDescent="0.25">
      <c r="A600" s="38">
        <f>+IF(B600="","",SUBTOTAL(3,$B$7:B600))</f>
        <v>594</v>
      </c>
      <c r="B600" s="40" t="s">
        <v>710</v>
      </c>
      <c r="C600" s="41">
        <v>45954</v>
      </c>
      <c r="D600" s="40" t="s">
        <v>862</v>
      </c>
      <c r="E600" s="38" t="s">
        <v>101</v>
      </c>
      <c r="F600" s="51">
        <v>4</v>
      </c>
      <c r="G600" s="51">
        <v>27000</v>
      </c>
      <c r="H600" s="51">
        <f t="shared" si="7"/>
        <v>108000</v>
      </c>
    </row>
    <row r="601" spans="1:8" x14ac:dyDescent="0.25">
      <c r="A601" s="38">
        <f>+IF(B601="","",SUBTOTAL(3,$B$7:B601))</f>
        <v>595</v>
      </c>
      <c r="B601" s="40" t="s">
        <v>442</v>
      </c>
      <c r="C601" s="41">
        <v>45954</v>
      </c>
      <c r="D601" s="40" t="s">
        <v>731</v>
      </c>
      <c r="E601" s="38" t="s">
        <v>101</v>
      </c>
      <c r="F601" s="51">
        <v>5</v>
      </c>
      <c r="G601" s="51">
        <v>8000</v>
      </c>
      <c r="H601" s="51">
        <f t="shared" si="7"/>
        <v>40000</v>
      </c>
    </row>
    <row r="602" spans="1:8" x14ac:dyDescent="0.25">
      <c r="A602" s="38">
        <f>+IF(B602="","",SUBTOTAL(3,$B$7:B602))</f>
        <v>596</v>
      </c>
      <c r="B602" s="40" t="s">
        <v>442</v>
      </c>
      <c r="C602" s="41">
        <v>45954</v>
      </c>
      <c r="D602" s="40" t="s">
        <v>833</v>
      </c>
      <c r="E602" s="38" t="s">
        <v>101</v>
      </c>
      <c r="F602" s="51">
        <v>1</v>
      </c>
      <c r="G602" s="51">
        <v>40000</v>
      </c>
      <c r="H602" s="51">
        <f t="shared" si="7"/>
        <v>40000</v>
      </c>
    </row>
    <row r="603" spans="1:8" x14ac:dyDescent="0.25">
      <c r="A603" s="38">
        <f>+IF(B603="","",SUBTOTAL(3,$B$7:B603))</f>
        <v>597</v>
      </c>
      <c r="B603" s="40" t="s">
        <v>442</v>
      </c>
      <c r="C603" s="41">
        <v>45954</v>
      </c>
      <c r="D603" s="40" t="s">
        <v>731</v>
      </c>
      <c r="E603" s="38" t="s">
        <v>101</v>
      </c>
      <c r="F603" s="51">
        <v>4</v>
      </c>
      <c r="G603" s="51">
        <v>26000</v>
      </c>
      <c r="H603" s="51">
        <f t="shared" si="7"/>
        <v>104000</v>
      </c>
    </row>
    <row r="604" spans="1:8" ht="60" x14ac:dyDescent="0.25">
      <c r="A604" s="38">
        <f>+IF(B604="","",SUBTOTAL(3,$B$7:B604))</f>
        <v>598</v>
      </c>
      <c r="B604" s="40" t="s">
        <v>484</v>
      </c>
      <c r="C604" s="41">
        <v>45957</v>
      </c>
      <c r="D604" s="40" t="s">
        <v>834</v>
      </c>
      <c r="E604" s="38" t="s">
        <v>140</v>
      </c>
      <c r="F604" s="51">
        <v>2</v>
      </c>
      <c r="G604" s="51">
        <v>41000</v>
      </c>
      <c r="H604" s="51">
        <f t="shared" si="7"/>
        <v>82000</v>
      </c>
    </row>
    <row r="605" spans="1:8" ht="60" x14ac:dyDescent="0.25">
      <c r="A605" s="38">
        <f>+IF(B605="","",SUBTOTAL(3,$B$7:B605))</f>
        <v>599</v>
      </c>
      <c r="B605" s="40" t="s">
        <v>484</v>
      </c>
      <c r="C605" s="41">
        <v>45957</v>
      </c>
      <c r="D605" s="40" t="s">
        <v>814</v>
      </c>
      <c r="E605" s="38" t="s">
        <v>101</v>
      </c>
      <c r="F605" s="51">
        <v>4</v>
      </c>
      <c r="G605" s="51">
        <v>1000</v>
      </c>
      <c r="H605" s="51">
        <f t="shared" si="7"/>
        <v>4000</v>
      </c>
    </row>
    <row r="606" spans="1:8" ht="60" x14ac:dyDescent="0.25">
      <c r="A606" s="38">
        <f>+IF(B606="","",SUBTOTAL(3,$B$7:B606))</f>
        <v>600</v>
      </c>
      <c r="B606" s="40" t="s">
        <v>484</v>
      </c>
      <c r="C606" s="41">
        <v>45957</v>
      </c>
      <c r="D606" s="40" t="s">
        <v>736</v>
      </c>
      <c r="E606" s="38" t="s">
        <v>140</v>
      </c>
      <c r="F606" s="51">
        <v>2</v>
      </c>
      <c r="G606" s="51">
        <v>4000</v>
      </c>
      <c r="H606" s="51">
        <f t="shared" si="7"/>
        <v>8000</v>
      </c>
    </row>
    <row r="607" spans="1:8" ht="60" x14ac:dyDescent="0.25">
      <c r="A607" s="38">
        <f>+IF(B607="","",SUBTOTAL(3,$B$7:B607))</f>
        <v>601</v>
      </c>
      <c r="B607" s="40" t="s">
        <v>484</v>
      </c>
      <c r="C607" s="41">
        <v>45957</v>
      </c>
      <c r="D607" s="40" t="s">
        <v>699</v>
      </c>
      <c r="E607" s="38" t="s">
        <v>101</v>
      </c>
      <c r="F607" s="51">
        <v>8</v>
      </c>
      <c r="G607" s="51">
        <v>1111.1099999999999</v>
      </c>
      <c r="H607" s="51">
        <f t="shared" si="7"/>
        <v>8888.8799999999992</v>
      </c>
    </row>
    <row r="608" spans="1:8" ht="60" x14ac:dyDescent="0.25">
      <c r="A608" s="38">
        <f>+IF(B608="","",SUBTOTAL(3,$B$7:B608))</f>
        <v>602</v>
      </c>
      <c r="B608" s="40" t="s">
        <v>484</v>
      </c>
      <c r="C608" s="41">
        <v>45957</v>
      </c>
      <c r="D608" s="40" t="s">
        <v>867</v>
      </c>
      <c r="E608" s="38" t="s">
        <v>101</v>
      </c>
      <c r="F608" s="51">
        <v>2</v>
      </c>
      <c r="G608" s="51">
        <v>2700</v>
      </c>
      <c r="H608" s="51">
        <f t="shared" si="7"/>
        <v>5400</v>
      </c>
    </row>
    <row r="609" spans="1:8" ht="30" x14ac:dyDescent="0.25">
      <c r="A609" s="38">
        <f>+IF(B609="","",SUBTOTAL(3,$B$7:B609))</f>
        <v>603</v>
      </c>
      <c r="B609" s="40" t="s">
        <v>442</v>
      </c>
      <c r="C609" s="41">
        <v>45957</v>
      </c>
      <c r="D609" s="40" t="s">
        <v>800</v>
      </c>
      <c r="E609" s="38" t="s">
        <v>835</v>
      </c>
      <c r="F609" s="51">
        <v>300</v>
      </c>
      <c r="G609" s="51">
        <v>13800</v>
      </c>
      <c r="H609" s="51">
        <f t="shared" si="7"/>
        <v>4140000</v>
      </c>
    </row>
    <row r="610" spans="1:8" x14ac:dyDescent="0.25">
      <c r="A610" s="38">
        <f>+IF(B610="","",SUBTOTAL(3,$B$7:B610))</f>
        <v>604</v>
      </c>
      <c r="B610" s="40" t="s">
        <v>705</v>
      </c>
      <c r="C610" s="41">
        <v>45958</v>
      </c>
      <c r="D610" s="40" t="s">
        <v>801</v>
      </c>
      <c r="E610" s="38" t="s">
        <v>101</v>
      </c>
      <c r="F610" s="51">
        <v>9400</v>
      </c>
      <c r="G610" s="51">
        <v>34.950000000000003</v>
      </c>
      <c r="H610" s="51">
        <f t="shared" si="7"/>
        <v>328530</v>
      </c>
    </row>
    <row r="611" spans="1:8" x14ac:dyDescent="0.25">
      <c r="A611" s="38">
        <f>+IF(B611="","",SUBTOTAL(3,$B$7:B611))</f>
        <v>605</v>
      </c>
      <c r="B611" s="40" t="s">
        <v>705</v>
      </c>
      <c r="C611" s="41">
        <v>45958</v>
      </c>
      <c r="D611" s="40" t="s">
        <v>802</v>
      </c>
      <c r="E611" s="38" t="s">
        <v>101</v>
      </c>
      <c r="F611" s="51">
        <v>800</v>
      </c>
      <c r="G611" s="51">
        <v>34.950000000000003</v>
      </c>
      <c r="H611" s="51">
        <f t="shared" si="7"/>
        <v>27960.000000000004</v>
      </c>
    </row>
    <row r="612" spans="1:8" x14ac:dyDescent="0.25">
      <c r="A612" s="38">
        <f>+IF(B612="","",SUBTOTAL(3,$B$7:B612))</f>
        <v>606</v>
      </c>
      <c r="B612" s="40" t="s">
        <v>705</v>
      </c>
      <c r="C612" s="41">
        <v>45958</v>
      </c>
      <c r="D612" s="40" t="s">
        <v>836</v>
      </c>
      <c r="E612" s="38" t="s">
        <v>101</v>
      </c>
      <c r="F612" s="51">
        <v>1500</v>
      </c>
      <c r="G612" s="51">
        <v>34.950000000000003</v>
      </c>
      <c r="H612" s="51">
        <f t="shared" si="7"/>
        <v>52425.000000000007</v>
      </c>
    </row>
    <row r="613" spans="1:8" x14ac:dyDescent="0.25">
      <c r="A613" s="38">
        <f>+IF(B613="","",SUBTOTAL(3,$B$7:B613))</f>
        <v>607</v>
      </c>
      <c r="B613" s="40" t="s">
        <v>705</v>
      </c>
      <c r="C613" s="41">
        <v>45958</v>
      </c>
      <c r="D613" s="40" t="s">
        <v>837</v>
      </c>
      <c r="E613" s="38" t="s">
        <v>101</v>
      </c>
      <c r="F613" s="51">
        <v>9000</v>
      </c>
      <c r="G613" s="51">
        <v>35</v>
      </c>
      <c r="H613" s="51">
        <f t="shared" si="7"/>
        <v>315000</v>
      </c>
    </row>
    <row r="614" spans="1:8" x14ac:dyDescent="0.25">
      <c r="A614" s="38">
        <f>+IF(B614="","",SUBTOTAL(3,$B$7:B614))</f>
        <v>608</v>
      </c>
      <c r="B614" s="40" t="s">
        <v>705</v>
      </c>
      <c r="C614" s="41">
        <v>45958</v>
      </c>
      <c r="D614" s="40" t="s">
        <v>812</v>
      </c>
      <c r="E614" s="38" t="s">
        <v>101</v>
      </c>
      <c r="F614" s="51">
        <v>30000</v>
      </c>
      <c r="G614" s="51">
        <v>19.8</v>
      </c>
      <c r="H614" s="51">
        <f t="shared" si="7"/>
        <v>594000</v>
      </c>
    </row>
    <row r="615" spans="1:8" x14ac:dyDescent="0.25">
      <c r="A615" s="38">
        <f>+IF(B615="","",SUBTOTAL(3,$B$7:B615))</f>
        <v>609</v>
      </c>
      <c r="B615" s="40" t="s">
        <v>705</v>
      </c>
      <c r="C615" s="41">
        <v>45958</v>
      </c>
      <c r="D615" s="40" t="s">
        <v>229</v>
      </c>
      <c r="E615" s="38" t="s">
        <v>741</v>
      </c>
      <c r="F615" s="51">
        <v>15</v>
      </c>
      <c r="G615" s="51">
        <v>26500</v>
      </c>
      <c r="H615" s="51">
        <f t="shared" si="7"/>
        <v>397500</v>
      </c>
    </row>
    <row r="616" spans="1:8" x14ac:dyDescent="0.25">
      <c r="A616" s="38">
        <f>+IF(B616="","",SUBTOTAL(3,$B$7:B616))</f>
        <v>610</v>
      </c>
      <c r="B616" s="40" t="s">
        <v>705</v>
      </c>
      <c r="C616" s="41">
        <v>45958</v>
      </c>
      <c r="D616" s="40" t="s">
        <v>765</v>
      </c>
      <c r="E616" s="38" t="s">
        <v>741</v>
      </c>
      <c r="F616" s="51">
        <v>17</v>
      </c>
      <c r="G616" s="51">
        <v>34000</v>
      </c>
      <c r="H616" s="51">
        <f t="shared" si="7"/>
        <v>578000</v>
      </c>
    </row>
    <row r="617" spans="1:8" x14ac:dyDescent="0.25">
      <c r="A617" s="38">
        <f>+IF(B617="","",SUBTOTAL(3,$B$7:B617))</f>
        <v>611</v>
      </c>
      <c r="B617" s="40" t="s">
        <v>705</v>
      </c>
      <c r="C617" s="41">
        <v>45958</v>
      </c>
      <c r="D617" s="40" t="s">
        <v>834</v>
      </c>
      <c r="E617" s="38" t="s">
        <v>140</v>
      </c>
      <c r="F617" s="51">
        <v>1</v>
      </c>
      <c r="G617" s="51">
        <v>41000</v>
      </c>
      <c r="H617" s="51">
        <f t="shared" si="7"/>
        <v>41000</v>
      </c>
    </row>
    <row r="618" spans="1:8" x14ac:dyDescent="0.25">
      <c r="A618" s="38">
        <f>+IF(B618="","",SUBTOTAL(3,$B$7:B618))</f>
        <v>612</v>
      </c>
      <c r="B618" s="40" t="s">
        <v>705</v>
      </c>
      <c r="C618" s="41">
        <v>45958</v>
      </c>
      <c r="D618" s="40" t="s">
        <v>196</v>
      </c>
      <c r="E618" s="38" t="s">
        <v>101</v>
      </c>
      <c r="F618" s="51">
        <v>4</v>
      </c>
      <c r="G618" s="51">
        <v>8099</v>
      </c>
      <c r="H618" s="51">
        <f t="shared" si="7"/>
        <v>32396</v>
      </c>
    </row>
    <row r="619" spans="1:8" ht="30" x14ac:dyDescent="0.25">
      <c r="A619" s="38">
        <f>+IF(B619="","",SUBTOTAL(3,$B$7:B619))</f>
        <v>613</v>
      </c>
      <c r="B619" s="40" t="s">
        <v>705</v>
      </c>
      <c r="C619" s="41">
        <v>45958</v>
      </c>
      <c r="D619" s="40" t="s">
        <v>725</v>
      </c>
      <c r="E619" s="38" t="s">
        <v>753</v>
      </c>
      <c r="F619" s="51">
        <v>1</v>
      </c>
      <c r="G619" s="51">
        <v>32000</v>
      </c>
      <c r="H619" s="51">
        <f t="shared" si="7"/>
        <v>32000</v>
      </c>
    </row>
    <row r="620" spans="1:8" x14ac:dyDescent="0.25">
      <c r="A620" s="38">
        <f>+IF(B620="","",SUBTOTAL(3,$B$7:B620))</f>
        <v>614</v>
      </c>
      <c r="B620" s="40" t="s">
        <v>705</v>
      </c>
      <c r="C620" s="41">
        <v>45958</v>
      </c>
      <c r="D620" s="40" t="s">
        <v>838</v>
      </c>
      <c r="E620" s="38" t="s">
        <v>101</v>
      </c>
      <c r="F620" s="51">
        <v>2500</v>
      </c>
      <c r="G620" s="51">
        <v>49</v>
      </c>
      <c r="H620" s="51">
        <f t="shared" si="7"/>
        <v>122500</v>
      </c>
    </row>
    <row r="621" spans="1:8" x14ac:dyDescent="0.25">
      <c r="A621" s="38">
        <f>+IF(B621="","",SUBTOTAL(3,$B$7:B621))</f>
        <v>615</v>
      </c>
      <c r="B621" s="40" t="s">
        <v>705</v>
      </c>
      <c r="C621" s="41">
        <v>45958</v>
      </c>
      <c r="D621" s="40" t="s">
        <v>706</v>
      </c>
      <c r="E621" s="38" t="s">
        <v>707</v>
      </c>
      <c r="F621" s="51">
        <v>10</v>
      </c>
      <c r="G621" s="51">
        <v>9900</v>
      </c>
      <c r="H621" s="51">
        <f t="shared" si="7"/>
        <v>99000</v>
      </c>
    </row>
    <row r="622" spans="1:8" ht="30" x14ac:dyDescent="0.25">
      <c r="A622" s="38">
        <f>+IF(B622="","",SUBTOTAL(3,$B$7:B622))</f>
        <v>616</v>
      </c>
      <c r="B622" s="40" t="s">
        <v>521</v>
      </c>
      <c r="C622" s="41">
        <v>45958</v>
      </c>
      <c r="D622" s="40" t="s">
        <v>834</v>
      </c>
      <c r="E622" s="38" t="s">
        <v>140</v>
      </c>
      <c r="F622" s="51">
        <v>1</v>
      </c>
      <c r="G622" s="51">
        <v>41000</v>
      </c>
      <c r="H622" s="51">
        <f t="shared" si="7"/>
        <v>41000</v>
      </c>
    </row>
    <row r="623" spans="1:8" ht="30" x14ac:dyDescent="0.25">
      <c r="A623" s="38">
        <f>+IF(B623="","",SUBTOTAL(3,$B$7:B623))</f>
        <v>617</v>
      </c>
      <c r="B623" s="40" t="s">
        <v>521</v>
      </c>
      <c r="C623" s="41">
        <v>45958</v>
      </c>
      <c r="D623" s="40" t="s">
        <v>839</v>
      </c>
      <c r="E623" s="38" t="s">
        <v>101</v>
      </c>
      <c r="F623" s="51">
        <v>2</v>
      </c>
      <c r="G623" s="51">
        <v>13500</v>
      </c>
      <c r="H623" s="51">
        <f t="shared" si="7"/>
        <v>27000</v>
      </c>
    </row>
    <row r="624" spans="1:8" x14ac:dyDescent="0.25">
      <c r="A624" s="38">
        <f>+IF(B624="","",SUBTOTAL(3,$B$7:B624))</f>
        <v>618</v>
      </c>
      <c r="B624" s="40" t="s">
        <v>698</v>
      </c>
      <c r="C624" s="41">
        <v>45960</v>
      </c>
      <c r="D624" s="40" t="s">
        <v>770</v>
      </c>
      <c r="E624" s="38" t="s">
        <v>101</v>
      </c>
      <c r="F624" s="51">
        <v>2</v>
      </c>
      <c r="G624" s="51">
        <v>70000</v>
      </c>
      <c r="H624" s="51">
        <f t="shared" si="7"/>
        <v>140000</v>
      </c>
    </row>
    <row r="625" spans="1:8" x14ac:dyDescent="0.25">
      <c r="A625" s="38">
        <f>+IF(B625="","",SUBTOTAL(3,$B$7:B625))</f>
        <v>619</v>
      </c>
      <c r="B625" s="40" t="s">
        <v>698</v>
      </c>
      <c r="C625" s="41">
        <v>45960</v>
      </c>
      <c r="D625" s="40" t="s">
        <v>840</v>
      </c>
      <c r="E625" s="38" t="s">
        <v>140</v>
      </c>
      <c r="F625" s="51">
        <v>2</v>
      </c>
      <c r="G625" s="51">
        <v>2011</v>
      </c>
      <c r="H625" s="51">
        <f t="shared" si="7"/>
        <v>4022</v>
      </c>
    </row>
    <row r="626" spans="1:8" x14ac:dyDescent="0.25">
      <c r="A626" s="38">
        <f>+IF(B626="","",SUBTOTAL(3,$B$7:B626))</f>
        <v>620</v>
      </c>
      <c r="B626" s="40" t="s">
        <v>698</v>
      </c>
      <c r="C626" s="41">
        <v>45960</v>
      </c>
      <c r="D626" s="40" t="s">
        <v>841</v>
      </c>
      <c r="E626" s="38" t="s">
        <v>140</v>
      </c>
      <c r="F626" s="51">
        <v>2</v>
      </c>
      <c r="G626" s="51">
        <v>3143</v>
      </c>
      <c r="H626" s="51">
        <f t="shared" si="7"/>
        <v>6286</v>
      </c>
    </row>
    <row r="627" spans="1:8" x14ac:dyDescent="0.25">
      <c r="A627" s="38">
        <f>+IF(B627="","",SUBTOTAL(3,$B$7:B627))</f>
        <v>621</v>
      </c>
      <c r="B627" s="40" t="s">
        <v>698</v>
      </c>
      <c r="C627" s="41">
        <v>45960</v>
      </c>
      <c r="D627" s="40" t="s">
        <v>196</v>
      </c>
      <c r="E627" s="38" t="s">
        <v>101</v>
      </c>
      <c r="F627" s="51">
        <v>2</v>
      </c>
      <c r="G627" s="51">
        <v>8099</v>
      </c>
      <c r="H627" s="51">
        <f t="shared" si="7"/>
        <v>16198</v>
      </c>
    </row>
    <row r="628" spans="1:8" ht="60" x14ac:dyDescent="0.25">
      <c r="A628" s="38">
        <f>+IF(B628="","",SUBTOTAL(3,$B$7:B628))</f>
        <v>622</v>
      </c>
      <c r="B628" s="40" t="s">
        <v>799</v>
      </c>
      <c r="C628" s="41">
        <v>45960</v>
      </c>
      <c r="D628" s="40" t="s">
        <v>834</v>
      </c>
      <c r="E628" s="38" t="s">
        <v>140</v>
      </c>
      <c r="F628" s="51">
        <v>1</v>
      </c>
      <c r="G628" s="51">
        <v>41000</v>
      </c>
      <c r="H628" s="51">
        <f t="shared" si="7"/>
        <v>41000</v>
      </c>
    </row>
    <row r="629" spans="1:8" x14ac:dyDescent="0.25">
      <c r="A629" s="38">
        <f>+IF(B629="","",SUBTOTAL(3,$B$7:B629))</f>
        <v>623</v>
      </c>
      <c r="B629" s="40" t="s">
        <v>442</v>
      </c>
      <c r="C629" s="41">
        <v>45960</v>
      </c>
      <c r="D629" s="40" t="s">
        <v>834</v>
      </c>
      <c r="E629" s="38" t="s">
        <v>140</v>
      </c>
      <c r="F629" s="51">
        <v>1</v>
      </c>
      <c r="G629" s="51">
        <v>41000</v>
      </c>
      <c r="H629" s="51">
        <f t="shared" si="7"/>
        <v>41000</v>
      </c>
    </row>
    <row r="630" spans="1:8" x14ac:dyDescent="0.25">
      <c r="A630" s="38">
        <f>+IF(B630="","",SUBTOTAL(3,$B$7:B630))</f>
        <v>624</v>
      </c>
      <c r="B630" s="40" t="s">
        <v>442</v>
      </c>
      <c r="C630" s="41">
        <v>45960</v>
      </c>
      <c r="D630" s="40" t="s">
        <v>754</v>
      </c>
      <c r="E630" s="38" t="s">
        <v>101</v>
      </c>
      <c r="F630" s="51">
        <v>4</v>
      </c>
      <c r="G630" s="51">
        <v>4400</v>
      </c>
      <c r="H630" s="51">
        <f t="shared" si="7"/>
        <v>17600</v>
      </c>
    </row>
    <row r="631" spans="1:8" ht="30" x14ac:dyDescent="0.25">
      <c r="A631" s="38">
        <f>+IF(B631="","",SUBTOTAL(3,$B$7:B631))</f>
        <v>625</v>
      </c>
      <c r="B631" s="40" t="s">
        <v>442</v>
      </c>
      <c r="C631" s="41">
        <v>45960</v>
      </c>
      <c r="D631" s="40" t="s">
        <v>831</v>
      </c>
      <c r="E631" s="38" t="s">
        <v>753</v>
      </c>
      <c r="F631" s="51">
        <v>3</v>
      </c>
      <c r="G631" s="51">
        <v>13104</v>
      </c>
      <c r="H631" s="51">
        <f t="shared" si="7"/>
        <v>39312</v>
      </c>
    </row>
    <row r="632" spans="1:8" ht="30" x14ac:dyDescent="0.25">
      <c r="A632" s="38">
        <f>+IF(B632="","",SUBTOTAL(3,$B$7:B632))</f>
        <v>626</v>
      </c>
      <c r="B632" s="40" t="s">
        <v>442</v>
      </c>
      <c r="C632" s="41">
        <v>45960</v>
      </c>
      <c r="D632" s="40" t="s">
        <v>842</v>
      </c>
      <c r="E632" s="38" t="s">
        <v>101</v>
      </c>
      <c r="F632" s="51">
        <v>10</v>
      </c>
      <c r="G632" s="51">
        <v>128000.01</v>
      </c>
      <c r="H632" s="51">
        <f t="shared" si="7"/>
        <v>1280000.0999999999</v>
      </c>
    </row>
    <row r="633" spans="1:8" x14ac:dyDescent="0.25">
      <c r="A633" s="38">
        <f>+IF(B633="","",SUBTOTAL(3,$B$7:B633))</f>
        <v>627</v>
      </c>
      <c r="B633" s="40" t="s">
        <v>442</v>
      </c>
      <c r="C633" s="41">
        <v>45960</v>
      </c>
      <c r="D633" s="40" t="s">
        <v>843</v>
      </c>
      <c r="E633" s="38" t="s">
        <v>101</v>
      </c>
      <c r="F633" s="51">
        <v>9</v>
      </c>
      <c r="G633" s="51">
        <v>12000</v>
      </c>
      <c r="H633" s="51">
        <f t="shared" si="7"/>
        <v>108000</v>
      </c>
    </row>
    <row r="634" spans="1:8" ht="30" x14ac:dyDescent="0.25">
      <c r="A634" s="38">
        <f>+IF(B634="","",SUBTOTAL(3,$B$7:B634))</f>
        <v>628</v>
      </c>
      <c r="B634" s="40" t="s">
        <v>442</v>
      </c>
      <c r="C634" s="41">
        <v>45960</v>
      </c>
      <c r="D634" s="40" t="s">
        <v>844</v>
      </c>
      <c r="E634" s="38" t="s">
        <v>101</v>
      </c>
      <c r="F634" s="51">
        <v>10</v>
      </c>
      <c r="G634" s="51">
        <v>9890</v>
      </c>
      <c r="H634" s="51">
        <f t="shared" si="7"/>
        <v>98900</v>
      </c>
    </row>
    <row r="635" spans="1:8" ht="45" x14ac:dyDescent="0.25">
      <c r="A635" s="38">
        <f>+IF(B635="","",SUBTOTAL(3,$B$7:B635))</f>
        <v>629</v>
      </c>
      <c r="B635" s="40" t="s">
        <v>737</v>
      </c>
      <c r="C635" s="41">
        <v>45961</v>
      </c>
      <c r="D635" s="40" t="s">
        <v>841</v>
      </c>
      <c r="E635" s="38" t="s">
        <v>140</v>
      </c>
      <c r="F635" s="51">
        <v>1</v>
      </c>
      <c r="G635" s="51">
        <v>3143</v>
      </c>
      <c r="H635" s="51">
        <f t="shared" si="7"/>
        <v>3143</v>
      </c>
    </row>
    <row r="636" spans="1:8" ht="45" x14ac:dyDescent="0.25">
      <c r="A636" s="38">
        <f>+IF(B636="","",SUBTOTAL(3,$B$7:B636))</f>
        <v>630</v>
      </c>
      <c r="B636" s="40" t="s">
        <v>737</v>
      </c>
      <c r="C636" s="41">
        <v>45961</v>
      </c>
      <c r="D636" s="40" t="s">
        <v>699</v>
      </c>
      <c r="E636" s="38" t="s">
        <v>101</v>
      </c>
      <c r="F636" s="51">
        <v>4</v>
      </c>
      <c r="G636" s="51">
        <v>1111.1099999999999</v>
      </c>
      <c r="H636" s="51">
        <f t="shared" si="7"/>
        <v>4444.4399999999996</v>
      </c>
    </row>
    <row r="637" spans="1:8" ht="45" x14ac:dyDescent="0.25">
      <c r="A637" s="38">
        <f>+IF(B637="","",SUBTOTAL(3,$B$7:B637))</f>
        <v>631</v>
      </c>
      <c r="B637" s="40" t="s">
        <v>737</v>
      </c>
      <c r="C637" s="41">
        <v>45961</v>
      </c>
      <c r="D637" s="40" t="s">
        <v>814</v>
      </c>
      <c r="E637" s="38" t="s">
        <v>101</v>
      </c>
      <c r="F637" s="51">
        <v>2</v>
      </c>
      <c r="G637" s="51">
        <v>1000</v>
      </c>
      <c r="H637" s="51">
        <f t="shared" si="7"/>
        <v>2000</v>
      </c>
    </row>
    <row r="638" spans="1:8" ht="45" x14ac:dyDescent="0.25">
      <c r="A638" s="38">
        <f>+IF(B638="","",SUBTOTAL(3,$B$7:B638))</f>
        <v>632</v>
      </c>
      <c r="B638" s="40" t="s">
        <v>737</v>
      </c>
      <c r="C638" s="41">
        <v>45961</v>
      </c>
      <c r="D638" s="40" t="s">
        <v>709</v>
      </c>
      <c r="E638" s="38" t="s">
        <v>101</v>
      </c>
      <c r="F638" s="51">
        <v>1</v>
      </c>
      <c r="G638" s="51">
        <v>10000</v>
      </c>
      <c r="H638" s="51">
        <f t="shared" si="7"/>
        <v>10000</v>
      </c>
    </row>
    <row r="639" spans="1:8" ht="45" x14ac:dyDescent="0.25">
      <c r="A639" s="38">
        <f>+IF(B639="","",SUBTOTAL(3,$B$7:B639))</f>
        <v>633</v>
      </c>
      <c r="B639" s="40" t="s">
        <v>737</v>
      </c>
      <c r="C639" s="41">
        <v>45961</v>
      </c>
      <c r="D639" s="40" t="s">
        <v>736</v>
      </c>
      <c r="E639" s="38" t="s">
        <v>140</v>
      </c>
      <c r="F639" s="51">
        <v>1</v>
      </c>
      <c r="G639" s="51">
        <v>4000</v>
      </c>
      <c r="H639" s="51">
        <f t="shared" si="7"/>
        <v>4000</v>
      </c>
    </row>
    <row r="640" spans="1:8" ht="45" x14ac:dyDescent="0.25">
      <c r="A640" s="38">
        <f>+IF(B640="","",SUBTOTAL(3,$B$7:B640))</f>
        <v>634</v>
      </c>
      <c r="B640" s="40" t="s">
        <v>737</v>
      </c>
      <c r="C640" s="41">
        <v>45961</v>
      </c>
      <c r="D640" s="40" t="s">
        <v>834</v>
      </c>
      <c r="E640" s="38" t="s">
        <v>140</v>
      </c>
      <c r="F640" s="51">
        <v>1</v>
      </c>
      <c r="G640" s="51">
        <v>41000</v>
      </c>
      <c r="H640" s="51">
        <f t="shared" si="7"/>
        <v>41000</v>
      </c>
    </row>
    <row r="641" spans="1:8" x14ac:dyDescent="0.25">
      <c r="A641" s="38">
        <f>+IF(B641="","",SUBTOTAL(3,$B$7:B641))</f>
        <v>635</v>
      </c>
      <c r="B641" s="40" t="s">
        <v>705</v>
      </c>
      <c r="C641" s="41">
        <v>45961</v>
      </c>
      <c r="D641" s="40" t="s">
        <v>118</v>
      </c>
      <c r="E641" s="38" t="s">
        <v>101</v>
      </c>
      <c r="F641" s="51">
        <v>4</v>
      </c>
      <c r="G641" s="51">
        <v>67980</v>
      </c>
      <c r="H641" s="51">
        <f t="shared" si="7"/>
        <v>271920</v>
      </c>
    </row>
    <row r="642" spans="1:8" x14ac:dyDescent="0.25">
      <c r="A642" s="38">
        <f>+IF(B642="","",SUBTOTAL(3,$B$7:B642))</f>
        <v>636</v>
      </c>
      <c r="B642" s="40" t="s">
        <v>705</v>
      </c>
      <c r="C642" s="41">
        <v>45961</v>
      </c>
      <c r="D642" s="40" t="s">
        <v>759</v>
      </c>
      <c r="E642" s="38" t="s">
        <v>707</v>
      </c>
      <c r="F642" s="51">
        <v>1</v>
      </c>
      <c r="G642" s="51">
        <v>615000</v>
      </c>
      <c r="H642" s="51">
        <f t="shared" si="7"/>
        <v>615000</v>
      </c>
    </row>
    <row r="643" spans="1:8" x14ac:dyDescent="0.25">
      <c r="A643" s="38">
        <f>+IF(B643="","",SUBTOTAL(3,$B$7:B643))</f>
        <v>637</v>
      </c>
      <c r="B643" s="40" t="s">
        <v>705</v>
      </c>
      <c r="C643" s="41">
        <v>45961</v>
      </c>
      <c r="D643" s="40" t="s">
        <v>100</v>
      </c>
      <c r="E643" s="38" t="s">
        <v>101</v>
      </c>
      <c r="F643" s="51">
        <v>10000</v>
      </c>
      <c r="G643" s="51">
        <v>140</v>
      </c>
      <c r="H643" s="51">
        <f t="shared" si="7"/>
        <v>1400000</v>
      </c>
    </row>
    <row r="644" spans="1:8" x14ac:dyDescent="0.25">
      <c r="A644" s="38">
        <f>+IF(B644="","",SUBTOTAL(3,$B$7:B644))</f>
        <v>638</v>
      </c>
      <c r="B644" s="40" t="s">
        <v>705</v>
      </c>
      <c r="C644" s="41">
        <v>45961</v>
      </c>
      <c r="D644" s="40" t="s">
        <v>758</v>
      </c>
      <c r="E644" s="38" t="s">
        <v>101</v>
      </c>
      <c r="F644" s="51">
        <v>5100</v>
      </c>
      <c r="G644" s="51">
        <v>34.950000000000003</v>
      </c>
      <c r="H644" s="51">
        <f t="shared" si="7"/>
        <v>178245</v>
      </c>
    </row>
    <row r="645" spans="1:8" x14ac:dyDescent="0.25">
      <c r="A645" s="38">
        <f>+IF(B645="","",SUBTOTAL(3,$B$7:B645))</f>
        <v>639</v>
      </c>
      <c r="B645" s="40" t="s">
        <v>705</v>
      </c>
      <c r="C645" s="41">
        <v>45961</v>
      </c>
      <c r="D645" s="40" t="s">
        <v>811</v>
      </c>
      <c r="E645" s="38" t="s">
        <v>101</v>
      </c>
      <c r="F645" s="51">
        <v>30000</v>
      </c>
      <c r="G645" s="51">
        <v>19.8</v>
      </c>
      <c r="H645" s="51">
        <f t="shared" si="7"/>
        <v>594000</v>
      </c>
    </row>
    <row r="646" spans="1:8" ht="30" x14ac:dyDescent="0.25">
      <c r="A646" s="38">
        <f>+IF(B646="","",SUBTOTAL(3,$B$7:B646))</f>
        <v>640</v>
      </c>
      <c r="B646" s="40" t="s">
        <v>472</v>
      </c>
      <c r="C646" s="41">
        <v>45961</v>
      </c>
      <c r="D646" s="40" t="s">
        <v>699</v>
      </c>
      <c r="E646" s="38" t="s">
        <v>101</v>
      </c>
      <c r="F646" s="51">
        <v>5</v>
      </c>
      <c r="G646" s="51">
        <v>1111.1099999999999</v>
      </c>
      <c r="H646" s="51">
        <f t="shared" si="7"/>
        <v>5555.5499999999993</v>
      </c>
    </row>
    <row r="647" spans="1:8" ht="30" x14ac:dyDescent="0.25">
      <c r="A647" s="38">
        <f>+IF(B647="","",SUBTOTAL(3,$B$7:B647))</f>
        <v>641</v>
      </c>
      <c r="B647" s="40" t="s">
        <v>472</v>
      </c>
      <c r="C647" s="41">
        <v>45961</v>
      </c>
      <c r="D647" s="40" t="s">
        <v>834</v>
      </c>
      <c r="E647" s="38" t="s">
        <v>140</v>
      </c>
      <c r="F647" s="51">
        <v>1</v>
      </c>
      <c r="G647" s="51">
        <v>41000</v>
      </c>
      <c r="H647" s="51">
        <f t="shared" si="7"/>
        <v>41000</v>
      </c>
    </row>
    <row r="648" spans="1:8" ht="30" x14ac:dyDescent="0.25">
      <c r="A648" s="38">
        <f>+IF(B648="","",SUBTOTAL(3,$B$7:B648))</f>
        <v>642</v>
      </c>
      <c r="B648" s="40" t="s">
        <v>472</v>
      </c>
      <c r="C648" s="41">
        <v>45961</v>
      </c>
      <c r="D648" s="40" t="s">
        <v>841</v>
      </c>
      <c r="E648" s="38" t="s">
        <v>140</v>
      </c>
      <c r="F648" s="51">
        <v>2</v>
      </c>
      <c r="G648" s="51">
        <v>3143</v>
      </c>
      <c r="H648" s="51">
        <f t="shared" si="7"/>
        <v>6286</v>
      </c>
    </row>
    <row r="649" spans="1:8" ht="30" x14ac:dyDescent="0.25">
      <c r="A649" s="38">
        <f>+IF(B649="","",SUBTOTAL(3,$B$7:B649))</f>
        <v>643</v>
      </c>
      <c r="B649" s="40" t="s">
        <v>472</v>
      </c>
      <c r="C649" s="41">
        <v>45961</v>
      </c>
      <c r="D649" s="40" t="s">
        <v>736</v>
      </c>
      <c r="E649" s="38" t="s">
        <v>140</v>
      </c>
      <c r="F649" s="51">
        <v>2</v>
      </c>
      <c r="G649" s="51">
        <v>4000</v>
      </c>
      <c r="H649" s="51">
        <f t="shared" si="7"/>
        <v>8000</v>
      </c>
    </row>
    <row r="650" spans="1:8" ht="30" x14ac:dyDescent="0.25">
      <c r="A650" s="38">
        <f>+IF(B650="","",SUBTOTAL(3,$B$7:B650))</f>
        <v>644</v>
      </c>
      <c r="B650" s="40" t="s">
        <v>472</v>
      </c>
      <c r="C650" s="41">
        <v>45961</v>
      </c>
      <c r="D650" s="40" t="s">
        <v>709</v>
      </c>
      <c r="E650" s="38" t="s">
        <v>101</v>
      </c>
      <c r="F650" s="51">
        <v>1</v>
      </c>
      <c r="G650" s="51">
        <v>10000</v>
      </c>
      <c r="H650" s="51">
        <f t="shared" ref="H650:H797" si="8">+SUM(F650*G650)</f>
        <v>10000</v>
      </c>
    </row>
    <row r="651" spans="1:8" x14ac:dyDescent="0.25">
      <c r="A651" s="38">
        <f>+IF(B651="","",SUBTOTAL(3,$B$7:B651))</f>
        <v>645</v>
      </c>
      <c r="B651" s="40" t="s">
        <v>451</v>
      </c>
      <c r="C651" s="41">
        <v>45967</v>
      </c>
      <c r="D651" s="40" t="s">
        <v>834</v>
      </c>
      <c r="E651" s="38" t="s">
        <v>140</v>
      </c>
      <c r="F651" s="51">
        <v>1</v>
      </c>
      <c r="G651" s="51">
        <v>41000</v>
      </c>
      <c r="H651" s="51">
        <f t="shared" si="8"/>
        <v>41000</v>
      </c>
    </row>
    <row r="652" spans="1:8" x14ac:dyDescent="0.25">
      <c r="A652" s="38">
        <f>+IF(B652="","",SUBTOTAL(3,$B$7:B652))</f>
        <v>646</v>
      </c>
      <c r="B652" s="40" t="s">
        <v>451</v>
      </c>
      <c r="C652" s="41">
        <v>45967</v>
      </c>
      <c r="D652" s="40" t="s">
        <v>699</v>
      </c>
      <c r="E652" s="38" t="s">
        <v>101</v>
      </c>
      <c r="F652" s="51">
        <v>7</v>
      </c>
      <c r="G652" s="51">
        <v>1111.1099999999999</v>
      </c>
      <c r="H652" s="51">
        <f t="shared" si="8"/>
        <v>7777.7699999999995</v>
      </c>
    </row>
    <row r="653" spans="1:8" x14ac:dyDescent="0.25">
      <c r="A653" s="38">
        <f>+IF(B653="","",SUBTOTAL(3,$B$7:B653))</f>
        <v>647</v>
      </c>
      <c r="B653" s="40" t="s">
        <v>451</v>
      </c>
      <c r="C653" s="41">
        <v>45967</v>
      </c>
      <c r="D653" s="40" t="s">
        <v>700</v>
      </c>
      <c r="E653" s="38" t="s">
        <v>101</v>
      </c>
      <c r="F653" s="51">
        <v>15</v>
      </c>
      <c r="G653" s="51">
        <v>1710</v>
      </c>
      <c r="H653" s="51">
        <f t="shared" si="8"/>
        <v>25650</v>
      </c>
    </row>
    <row r="654" spans="1:8" ht="30" x14ac:dyDescent="0.25">
      <c r="A654" s="38">
        <f>+IF(B654="","",SUBTOTAL(3,$B$7:B654))</f>
        <v>648</v>
      </c>
      <c r="B654" s="40" t="s">
        <v>442</v>
      </c>
      <c r="C654" s="41">
        <v>45971</v>
      </c>
      <c r="D654" s="40" t="s">
        <v>844</v>
      </c>
      <c r="E654" s="38" t="s">
        <v>101</v>
      </c>
      <c r="F654" s="51">
        <v>5</v>
      </c>
      <c r="G654" s="51">
        <v>9890</v>
      </c>
      <c r="H654" s="51">
        <f t="shared" si="8"/>
        <v>49450</v>
      </c>
    </row>
    <row r="655" spans="1:8" x14ac:dyDescent="0.25">
      <c r="A655" s="38">
        <f>+IF(B655="","",SUBTOTAL(3,$B$7:B655))</f>
        <v>649</v>
      </c>
      <c r="B655" s="40" t="s">
        <v>442</v>
      </c>
      <c r="C655" s="41">
        <v>45971</v>
      </c>
      <c r="D655" s="40" t="s">
        <v>822</v>
      </c>
      <c r="E655" s="38" t="s">
        <v>101</v>
      </c>
      <c r="F655" s="51">
        <v>9</v>
      </c>
      <c r="G655" s="51">
        <v>16500</v>
      </c>
      <c r="H655" s="51">
        <f t="shared" si="8"/>
        <v>148500</v>
      </c>
    </row>
    <row r="656" spans="1:8" x14ac:dyDescent="0.25">
      <c r="A656" s="38">
        <f>+IF(B656="","",SUBTOTAL(3,$B$7:B656))</f>
        <v>650</v>
      </c>
      <c r="B656" s="40" t="s">
        <v>442</v>
      </c>
      <c r="C656" s="41">
        <v>45971</v>
      </c>
      <c r="D656" s="40" t="s">
        <v>716</v>
      </c>
      <c r="E656" s="38" t="s">
        <v>101</v>
      </c>
      <c r="F656" s="51">
        <v>8</v>
      </c>
      <c r="G656" s="51">
        <v>19200.009999999998</v>
      </c>
      <c r="H656" s="51">
        <f t="shared" si="8"/>
        <v>153600.07999999999</v>
      </c>
    </row>
    <row r="657" spans="1:8" ht="30" x14ac:dyDescent="0.25">
      <c r="A657" s="38">
        <f>+IF(B657="","",SUBTOTAL(3,$B$7:B657))</f>
        <v>651</v>
      </c>
      <c r="B657" s="40" t="s">
        <v>442</v>
      </c>
      <c r="C657" s="41">
        <v>45971</v>
      </c>
      <c r="D657" s="40" t="s">
        <v>831</v>
      </c>
      <c r="E657" s="38" t="s">
        <v>753</v>
      </c>
      <c r="F657" s="51">
        <v>2</v>
      </c>
      <c r="G657" s="51">
        <v>13104</v>
      </c>
      <c r="H657" s="51">
        <f t="shared" si="8"/>
        <v>26208</v>
      </c>
    </row>
    <row r="658" spans="1:8" x14ac:dyDescent="0.25">
      <c r="A658" s="38">
        <f>+IF(B658="","",SUBTOTAL(3,$B$7:B658))</f>
        <v>652</v>
      </c>
      <c r="B658" s="40" t="s">
        <v>442</v>
      </c>
      <c r="C658" s="41">
        <v>45971</v>
      </c>
      <c r="D658" s="40" t="s">
        <v>862</v>
      </c>
      <c r="E658" s="38" t="s">
        <v>101</v>
      </c>
      <c r="F658" s="51">
        <v>4</v>
      </c>
      <c r="G658" s="51">
        <v>27000</v>
      </c>
      <c r="H658" s="51">
        <f t="shared" si="8"/>
        <v>108000</v>
      </c>
    </row>
    <row r="659" spans="1:8" x14ac:dyDescent="0.25">
      <c r="A659" s="38">
        <f>+IF(B659="","",SUBTOTAL(3,$B$7:B659))</f>
        <v>653</v>
      </c>
      <c r="B659" s="40" t="s">
        <v>705</v>
      </c>
      <c r="C659" s="41">
        <v>45974</v>
      </c>
      <c r="D659" s="40" t="s">
        <v>809</v>
      </c>
      <c r="E659" s="38" t="s">
        <v>101</v>
      </c>
      <c r="F659" s="51">
        <v>30000</v>
      </c>
      <c r="G659" s="51">
        <v>19.8</v>
      </c>
      <c r="H659" s="51">
        <f t="shared" si="8"/>
        <v>594000</v>
      </c>
    </row>
    <row r="660" spans="1:8" x14ac:dyDescent="0.25">
      <c r="A660" s="38">
        <f>+IF(B660="","",SUBTOTAL(3,$B$7:B660))</f>
        <v>654</v>
      </c>
      <c r="B660" s="40" t="s">
        <v>705</v>
      </c>
      <c r="C660" s="41">
        <v>45974</v>
      </c>
      <c r="D660" s="40" t="s">
        <v>812</v>
      </c>
      <c r="E660" s="38" t="s">
        <v>101</v>
      </c>
      <c r="F660" s="51">
        <v>30000</v>
      </c>
      <c r="G660" s="51">
        <v>19.8</v>
      </c>
      <c r="H660" s="51">
        <f t="shared" si="8"/>
        <v>594000</v>
      </c>
    </row>
    <row r="661" spans="1:8" x14ac:dyDescent="0.25">
      <c r="A661" s="38">
        <f>+IF(B661="","",SUBTOTAL(3,$B$7:B661))</f>
        <v>655</v>
      </c>
      <c r="B661" s="40" t="s">
        <v>705</v>
      </c>
      <c r="C661" s="41">
        <v>45974</v>
      </c>
      <c r="D661" s="40" t="s">
        <v>810</v>
      </c>
      <c r="E661" s="38" t="s">
        <v>101</v>
      </c>
      <c r="F661" s="51">
        <v>20000</v>
      </c>
      <c r="G661" s="51">
        <v>19.8</v>
      </c>
      <c r="H661" s="51">
        <f t="shared" si="8"/>
        <v>396000</v>
      </c>
    </row>
    <row r="662" spans="1:8" ht="30" x14ac:dyDescent="0.25">
      <c r="A662" s="38">
        <f>+IF(B662="","",SUBTOTAL(3,$B$7:B662))</f>
        <v>656</v>
      </c>
      <c r="B662" s="40" t="s">
        <v>705</v>
      </c>
      <c r="C662" s="41">
        <v>45974</v>
      </c>
      <c r="D662" s="40" t="s">
        <v>701</v>
      </c>
      <c r="E662" s="38" t="s">
        <v>101</v>
      </c>
      <c r="F662" s="51">
        <v>12</v>
      </c>
      <c r="G662" s="51">
        <v>19600</v>
      </c>
      <c r="H662" s="51">
        <f t="shared" si="8"/>
        <v>235200</v>
      </c>
    </row>
    <row r="663" spans="1:8" x14ac:dyDescent="0.25">
      <c r="A663" s="38">
        <f>+IF(B663="","",SUBTOTAL(3,$B$7:B663))</f>
        <v>657</v>
      </c>
      <c r="B663" s="40" t="s">
        <v>705</v>
      </c>
      <c r="C663" s="41">
        <v>45974</v>
      </c>
      <c r="D663" s="40" t="s">
        <v>703</v>
      </c>
      <c r="E663" s="38" t="s">
        <v>101</v>
      </c>
      <c r="F663" s="51">
        <v>3</v>
      </c>
      <c r="G663" s="51">
        <v>9500</v>
      </c>
      <c r="H663" s="51">
        <f t="shared" si="8"/>
        <v>28500</v>
      </c>
    </row>
    <row r="664" spans="1:8" x14ac:dyDescent="0.25">
      <c r="A664" s="38">
        <f>+IF(B664="","",SUBTOTAL(3,$B$7:B664))</f>
        <v>658</v>
      </c>
      <c r="B664" s="40" t="s">
        <v>705</v>
      </c>
      <c r="C664" s="41">
        <v>45974</v>
      </c>
      <c r="D664" s="40" t="s">
        <v>699</v>
      </c>
      <c r="E664" s="38" t="s">
        <v>101</v>
      </c>
      <c r="F664" s="51">
        <v>30</v>
      </c>
      <c r="G664" s="51">
        <v>1111.1099999999999</v>
      </c>
      <c r="H664" s="51">
        <f t="shared" si="8"/>
        <v>33333.299999999996</v>
      </c>
    </row>
    <row r="665" spans="1:8" x14ac:dyDescent="0.25">
      <c r="A665" s="38">
        <f>+IF(B665="","",SUBTOTAL(3,$B$7:B665))</f>
        <v>659</v>
      </c>
      <c r="B665" s="40" t="s">
        <v>705</v>
      </c>
      <c r="C665" s="41">
        <v>45974</v>
      </c>
      <c r="D665" s="40" t="s">
        <v>700</v>
      </c>
      <c r="E665" s="38" t="s">
        <v>101</v>
      </c>
      <c r="F665" s="51">
        <v>30</v>
      </c>
      <c r="G665" s="51">
        <v>1710</v>
      </c>
      <c r="H665" s="51">
        <f t="shared" si="8"/>
        <v>51300</v>
      </c>
    </row>
    <row r="666" spans="1:8" ht="30" x14ac:dyDescent="0.25">
      <c r="A666" s="38">
        <f>+IF(B666="","",SUBTOTAL(3,$B$7:B666))</f>
        <v>660</v>
      </c>
      <c r="B666" s="40" t="s">
        <v>705</v>
      </c>
      <c r="C666" s="41">
        <v>45974</v>
      </c>
      <c r="D666" s="40" t="s">
        <v>727</v>
      </c>
      <c r="E666" s="38" t="s">
        <v>101</v>
      </c>
      <c r="F666" s="51">
        <v>3</v>
      </c>
      <c r="G666" s="51">
        <v>3300</v>
      </c>
      <c r="H666" s="51">
        <f t="shared" si="8"/>
        <v>9900</v>
      </c>
    </row>
    <row r="667" spans="1:8" ht="60" x14ac:dyDescent="0.25">
      <c r="A667" s="38">
        <f>+IF(B667="","",SUBTOTAL(3,$B$7:B667))</f>
        <v>661</v>
      </c>
      <c r="B667" s="40" t="s">
        <v>705</v>
      </c>
      <c r="C667" s="41">
        <v>45974</v>
      </c>
      <c r="D667" s="40" t="s">
        <v>859</v>
      </c>
      <c r="E667" s="38" t="s">
        <v>132</v>
      </c>
      <c r="F667" s="51">
        <v>5</v>
      </c>
      <c r="G667" s="51">
        <v>2150</v>
      </c>
      <c r="H667" s="51">
        <f t="shared" si="8"/>
        <v>10750</v>
      </c>
    </row>
    <row r="668" spans="1:8" ht="30" x14ac:dyDescent="0.25">
      <c r="A668" s="38">
        <f>+IF(B668="","",SUBTOTAL(3,$B$7:B668))</f>
        <v>662</v>
      </c>
      <c r="B668" s="40" t="s">
        <v>705</v>
      </c>
      <c r="C668" s="41">
        <v>45974</v>
      </c>
      <c r="D668" s="40" t="s">
        <v>818</v>
      </c>
      <c r="E668" s="38" t="s">
        <v>101</v>
      </c>
      <c r="F668" s="51">
        <v>2000</v>
      </c>
      <c r="G668" s="51">
        <v>99</v>
      </c>
      <c r="H668" s="51">
        <f t="shared" si="8"/>
        <v>198000</v>
      </c>
    </row>
    <row r="669" spans="1:8" ht="30" x14ac:dyDescent="0.25">
      <c r="A669" s="38">
        <f>+IF(B669="","",SUBTOTAL(3,$B$7:B669))</f>
        <v>663</v>
      </c>
      <c r="B669" s="40" t="s">
        <v>449</v>
      </c>
      <c r="C669" s="41">
        <v>45974</v>
      </c>
      <c r="D669" s="40" t="s">
        <v>834</v>
      </c>
      <c r="E669" s="38" t="s">
        <v>140</v>
      </c>
      <c r="F669" s="51">
        <v>1</v>
      </c>
      <c r="G669" s="51">
        <v>41000</v>
      </c>
      <c r="H669" s="51">
        <f t="shared" si="8"/>
        <v>41000</v>
      </c>
    </row>
    <row r="670" spans="1:8" ht="30" x14ac:dyDescent="0.25">
      <c r="A670" s="38">
        <f>+IF(B670="","",SUBTOTAL(3,$B$7:B670))</f>
        <v>664</v>
      </c>
      <c r="B670" s="40" t="s">
        <v>442</v>
      </c>
      <c r="C670" s="41">
        <v>45974</v>
      </c>
      <c r="D670" s="40" t="s">
        <v>845</v>
      </c>
      <c r="E670" s="38" t="s">
        <v>101</v>
      </c>
      <c r="F670" s="51">
        <v>4</v>
      </c>
      <c r="G670" s="51">
        <v>68000</v>
      </c>
      <c r="H670" s="51">
        <f t="shared" si="8"/>
        <v>272000</v>
      </c>
    </row>
    <row r="671" spans="1:8" ht="30" x14ac:dyDescent="0.25">
      <c r="A671" s="38">
        <f>+IF(B671="","",SUBTOTAL(3,$B$7:B671))</f>
        <v>665</v>
      </c>
      <c r="B671" s="40" t="s">
        <v>710</v>
      </c>
      <c r="C671" s="41">
        <v>45974</v>
      </c>
      <c r="D671" s="40" t="s">
        <v>217</v>
      </c>
      <c r="E671" s="38" t="s">
        <v>101</v>
      </c>
      <c r="F671" s="51">
        <v>4</v>
      </c>
      <c r="G671" s="51">
        <v>375000</v>
      </c>
      <c r="H671" s="51">
        <f t="shared" si="8"/>
        <v>1500000</v>
      </c>
    </row>
    <row r="672" spans="1:8" x14ac:dyDescent="0.25">
      <c r="A672" s="38">
        <f>+IF(B672="","",SUBTOTAL(3,$B$7:B672))</f>
        <v>666</v>
      </c>
      <c r="B672" s="40" t="s">
        <v>698</v>
      </c>
      <c r="C672" s="41">
        <v>45975</v>
      </c>
      <c r="D672" s="40" t="s">
        <v>700</v>
      </c>
      <c r="E672" s="38" t="s">
        <v>101</v>
      </c>
      <c r="F672" s="51">
        <v>30</v>
      </c>
      <c r="G672" s="51">
        <v>1710</v>
      </c>
      <c r="H672" s="51">
        <f t="shared" si="8"/>
        <v>51300</v>
      </c>
    </row>
    <row r="673" spans="1:8" x14ac:dyDescent="0.25">
      <c r="A673" s="38">
        <f>+IF(B673="","",SUBTOTAL(3,$B$7:B673))</f>
        <v>667</v>
      </c>
      <c r="B673" s="40" t="s">
        <v>698</v>
      </c>
      <c r="C673" s="41">
        <v>45975</v>
      </c>
      <c r="D673" s="40" t="s">
        <v>699</v>
      </c>
      <c r="E673" s="38" t="s">
        <v>101</v>
      </c>
      <c r="F673" s="51">
        <v>7</v>
      </c>
      <c r="G673" s="51">
        <v>1111.1099999999999</v>
      </c>
      <c r="H673" s="51">
        <f t="shared" si="8"/>
        <v>7777.7699999999995</v>
      </c>
    </row>
    <row r="674" spans="1:8" x14ac:dyDescent="0.25">
      <c r="A674" s="38">
        <f>+IF(B674="","",SUBTOTAL(3,$B$7:B674))</f>
        <v>668</v>
      </c>
      <c r="B674" s="40" t="s">
        <v>698</v>
      </c>
      <c r="C674" s="41">
        <v>45975</v>
      </c>
      <c r="D674" s="40" t="s">
        <v>740</v>
      </c>
      <c r="E674" s="38" t="s">
        <v>741</v>
      </c>
      <c r="F674" s="51">
        <v>20</v>
      </c>
      <c r="G674" s="51">
        <v>23000</v>
      </c>
      <c r="H674" s="51">
        <f t="shared" si="8"/>
        <v>460000</v>
      </c>
    </row>
    <row r="675" spans="1:8" x14ac:dyDescent="0.25">
      <c r="A675" s="38">
        <f>+IF(B675="","",SUBTOTAL(3,$B$7:B675))</f>
        <v>669</v>
      </c>
      <c r="B675" s="40" t="s">
        <v>698</v>
      </c>
      <c r="C675" s="41">
        <v>45975</v>
      </c>
      <c r="D675" s="40" t="s">
        <v>834</v>
      </c>
      <c r="E675" s="38" t="s">
        <v>140</v>
      </c>
      <c r="F675" s="51">
        <v>2</v>
      </c>
      <c r="G675" s="51">
        <v>41000</v>
      </c>
      <c r="H675" s="51">
        <f t="shared" si="8"/>
        <v>82000</v>
      </c>
    </row>
    <row r="676" spans="1:8" x14ac:dyDescent="0.25">
      <c r="A676" s="38">
        <f>+IF(B676="","",SUBTOTAL(3,$B$7:B676))</f>
        <v>670</v>
      </c>
      <c r="B676" s="40" t="s">
        <v>698</v>
      </c>
      <c r="C676" s="41">
        <v>45975</v>
      </c>
      <c r="D676" s="40" t="s">
        <v>196</v>
      </c>
      <c r="E676" s="38" t="s">
        <v>101</v>
      </c>
      <c r="F676" s="51">
        <v>2</v>
      </c>
      <c r="G676" s="51">
        <v>8099</v>
      </c>
      <c r="H676" s="51">
        <f t="shared" si="8"/>
        <v>16198</v>
      </c>
    </row>
    <row r="677" spans="1:8" x14ac:dyDescent="0.25">
      <c r="A677" s="38">
        <f>+IF(B677="","",SUBTOTAL(3,$B$7:B677))</f>
        <v>671</v>
      </c>
      <c r="B677" s="40" t="s">
        <v>698</v>
      </c>
      <c r="C677" s="41">
        <v>45975</v>
      </c>
      <c r="D677" s="40" t="s">
        <v>703</v>
      </c>
      <c r="E677" s="38" t="s">
        <v>101</v>
      </c>
      <c r="F677" s="51">
        <v>3</v>
      </c>
      <c r="G677" s="51">
        <v>9500</v>
      </c>
      <c r="H677" s="51">
        <f t="shared" si="8"/>
        <v>28500</v>
      </c>
    </row>
    <row r="678" spans="1:8" x14ac:dyDescent="0.25">
      <c r="A678" s="38">
        <f>+IF(B678="","",SUBTOTAL(3,$B$7:B678))</f>
        <v>672</v>
      </c>
      <c r="B678" s="40" t="s">
        <v>451</v>
      </c>
      <c r="C678" s="41">
        <v>45979</v>
      </c>
      <c r="D678" s="40" t="s">
        <v>772</v>
      </c>
      <c r="E678" s="38" t="s">
        <v>101</v>
      </c>
      <c r="F678" s="51">
        <v>200</v>
      </c>
      <c r="G678" s="51">
        <v>1188</v>
      </c>
      <c r="H678" s="51">
        <f t="shared" si="8"/>
        <v>237600</v>
      </c>
    </row>
    <row r="679" spans="1:8" ht="30" x14ac:dyDescent="0.25">
      <c r="A679" s="38">
        <f>+IF(B679="","",SUBTOTAL(3,$B$7:B679))</f>
        <v>673</v>
      </c>
      <c r="B679" s="40" t="s">
        <v>442</v>
      </c>
      <c r="C679" s="41">
        <v>45980</v>
      </c>
      <c r="D679" s="40" t="s">
        <v>831</v>
      </c>
      <c r="E679" s="38" t="s">
        <v>753</v>
      </c>
      <c r="F679" s="51">
        <v>3</v>
      </c>
      <c r="G679" s="51">
        <v>13104</v>
      </c>
      <c r="H679" s="51">
        <f t="shared" si="8"/>
        <v>39312</v>
      </c>
    </row>
    <row r="680" spans="1:8" x14ac:dyDescent="0.25">
      <c r="A680" s="38">
        <f>+IF(B680="","",SUBTOTAL(3,$B$7:B680))</f>
        <v>674</v>
      </c>
      <c r="B680" s="40" t="s">
        <v>442</v>
      </c>
      <c r="C680" s="41">
        <v>45980</v>
      </c>
      <c r="D680" s="40" t="s">
        <v>730</v>
      </c>
      <c r="E680" s="38" t="s">
        <v>101</v>
      </c>
      <c r="F680" s="51">
        <v>2</v>
      </c>
      <c r="G680" s="51">
        <v>23000</v>
      </c>
      <c r="H680" s="51">
        <f t="shared" si="8"/>
        <v>46000</v>
      </c>
    </row>
    <row r="681" spans="1:8" x14ac:dyDescent="0.25">
      <c r="A681" s="38">
        <f>+IF(B681="","",SUBTOTAL(3,$B$7:B681))</f>
        <v>675</v>
      </c>
      <c r="B681" s="40" t="s">
        <v>442</v>
      </c>
      <c r="C681" s="41">
        <v>45980</v>
      </c>
      <c r="D681" s="40" t="s">
        <v>731</v>
      </c>
      <c r="E681" s="38" t="s">
        <v>101</v>
      </c>
      <c r="F681" s="51">
        <v>5</v>
      </c>
      <c r="G681" s="51">
        <v>8000</v>
      </c>
      <c r="H681" s="51">
        <f t="shared" si="8"/>
        <v>40000</v>
      </c>
    </row>
    <row r="682" spans="1:8" ht="30" x14ac:dyDescent="0.25">
      <c r="A682" s="38">
        <f>+IF(B682="","",SUBTOTAL(3,$B$7:B682))</f>
        <v>676</v>
      </c>
      <c r="B682" s="40" t="s">
        <v>442</v>
      </c>
      <c r="C682" s="41">
        <v>45980</v>
      </c>
      <c r="D682" s="40" t="s">
        <v>845</v>
      </c>
      <c r="E682" s="38" t="s">
        <v>101</v>
      </c>
      <c r="F682" s="51">
        <v>6</v>
      </c>
      <c r="G682" s="51">
        <v>68000</v>
      </c>
      <c r="H682" s="51">
        <f t="shared" si="8"/>
        <v>408000</v>
      </c>
    </row>
    <row r="683" spans="1:8" ht="30" x14ac:dyDescent="0.25">
      <c r="A683" s="38">
        <f>+IF(B683="","",SUBTOTAL(3,$B$7:B683))</f>
        <v>677</v>
      </c>
      <c r="B683" s="40" t="s">
        <v>442</v>
      </c>
      <c r="C683" s="41">
        <v>45980</v>
      </c>
      <c r="D683" s="40" t="s">
        <v>727</v>
      </c>
      <c r="E683" s="38" t="s">
        <v>101</v>
      </c>
      <c r="F683" s="51">
        <v>9</v>
      </c>
      <c r="G683" s="51">
        <v>3300</v>
      </c>
      <c r="H683" s="51">
        <f t="shared" si="8"/>
        <v>29700</v>
      </c>
    </row>
    <row r="684" spans="1:8" x14ac:dyDescent="0.25">
      <c r="A684" s="38">
        <f>+IF(B684="","",SUBTOTAL(3,$B$7:B684))</f>
        <v>678</v>
      </c>
      <c r="B684" s="40" t="s">
        <v>442</v>
      </c>
      <c r="C684" s="41">
        <v>45980</v>
      </c>
      <c r="D684" s="40" t="s">
        <v>731</v>
      </c>
      <c r="E684" s="38" t="s">
        <v>101</v>
      </c>
      <c r="F684" s="51">
        <v>4</v>
      </c>
      <c r="G684" s="51">
        <v>26000</v>
      </c>
      <c r="H684" s="51">
        <f t="shared" si="8"/>
        <v>104000</v>
      </c>
    </row>
    <row r="685" spans="1:8" ht="30" x14ac:dyDescent="0.25">
      <c r="A685" s="38">
        <f>+IF(B685="","",SUBTOTAL(3,$B$7:B685))</f>
        <v>679</v>
      </c>
      <c r="B685" s="40" t="s">
        <v>442</v>
      </c>
      <c r="C685" s="41">
        <v>45980</v>
      </c>
      <c r="D685" s="40" t="s">
        <v>844</v>
      </c>
      <c r="E685" s="38" t="s">
        <v>101</v>
      </c>
      <c r="F685" s="51">
        <v>4</v>
      </c>
      <c r="G685" s="51">
        <v>9890</v>
      </c>
      <c r="H685" s="51">
        <f t="shared" si="8"/>
        <v>39560</v>
      </c>
    </row>
    <row r="686" spans="1:8" ht="60" x14ac:dyDescent="0.25">
      <c r="A686" s="38">
        <f>+IF(B686="","",SUBTOTAL(3,$B$7:B686))</f>
        <v>680</v>
      </c>
      <c r="B686" s="40" t="s">
        <v>442</v>
      </c>
      <c r="C686" s="41">
        <v>45980</v>
      </c>
      <c r="D686" s="40" t="s">
        <v>859</v>
      </c>
      <c r="E686" s="38" t="s">
        <v>132</v>
      </c>
      <c r="F686" s="51">
        <v>5</v>
      </c>
      <c r="G686" s="51">
        <v>2150</v>
      </c>
      <c r="H686" s="51">
        <f t="shared" si="8"/>
        <v>10750</v>
      </c>
    </row>
    <row r="687" spans="1:8" ht="30" x14ac:dyDescent="0.25">
      <c r="A687" s="38">
        <f>+IF(B687="","",SUBTOTAL(3,$B$7:B687))</f>
        <v>681</v>
      </c>
      <c r="B687" s="40" t="s">
        <v>442</v>
      </c>
      <c r="C687" s="41">
        <v>45980</v>
      </c>
      <c r="D687" s="40" t="s">
        <v>866</v>
      </c>
      <c r="E687" s="38" t="s">
        <v>101</v>
      </c>
      <c r="F687" s="51">
        <v>4</v>
      </c>
      <c r="G687" s="51">
        <v>8092</v>
      </c>
      <c r="H687" s="51">
        <f t="shared" si="8"/>
        <v>32368</v>
      </c>
    </row>
    <row r="688" spans="1:8" x14ac:dyDescent="0.25">
      <c r="A688" s="38">
        <f>+IF(B688="","",SUBTOTAL(3,$B$7:B688))</f>
        <v>682</v>
      </c>
      <c r="B688" s="40" t="s">
        <v>442</v>
      </c>
      <c r="C688" s="41">
        <v>45980</v>
      </c>
      <c r="D688" s="40" t="s">
        <v>714</v>
      </c>
      <c r="E688" s="38" t="s">
        <v>101</v>
      </c>
      <c r="F688" s="51">
        <v>1</v>
      </c>
      <c r="G688" s="51">
        <v>20000</v>
      </c>
      <c r="H688" s="51">
        <f t="shared" si="8"/>
        <v>20000</v>
      </c>
    </row>
    <row r="689" spans="1:8" x14ac:dyDescent="0.25">
      <c r="A689" s="38">
        <f>+IF(B689="","",SUBTOTAL(3,$B$7:B689))</f>
        <v>683</v>
      </c>
      <c r="B689" s="40" t="s">
        <v>442</v>
      </c>
      <c r="C689" s="41">
        <v>45980</v>
      </c>
      <c r="D689" s="40" t="s">
        <v>732</v>
      </c>
      <c r="E689" s="38" t="s">
        <v>132</v>
      </c>
      <c r="F689" s="51">
        <v>4</v>
      </c>
      <c r="G689" s="51">
        <v>5454</v>
      </c>
      <c r="H689" s="51">
        <f t="shared" si="8"/>
        <v>21816</v>
      </c>
    </row>
    <row r="690" spans="1:8" ht="30" x14ac:dyDescent="0.25">
      <c r="A690" s="38">
        <f>+IF(B690="","",SUBTOTAL(3,$B$7:B690))</f>
        <v>684</v>
      </c>
      <c r="B690" s="40" t="s">
        <v>442</v>
      </c>
      <c r="C690" s="41">
        <v>45980</v>
      </c>
      <c r="D690" s="40" t="s">
        <v>733</v>
      </c>
      <c r="E690" s="38" t="s">
        <v>101</v>
      </c>
      <c r="F690" s="51">
        <v>7</v>
      </c>
      <c r="G690" s="51">
        <v>6250</v>
      </c>
      <c r="H690" s="51">
        <f t="shared" si="8"/>
        <v>43750</v>
      </c>
    </row>
    <row r="691" spans="1:8" x14ac:dyDescent="0.25">
      <c r="A691" s="38">
        <f>+IF(B691="","",SUBTOTAL(3,$B$7:B691))</f>
        <v>685</v>
      </c>
      <c r="B691" s="40" t="s">
        <v>442</v>
      </c>
      <c r="C691" s="41">
        <v>45980</v>
      </c>
      <c r="D691" s="40" t="s">
        <v>143</v>
      </c>
      <c r="E691" s="38" t="s">
        <v>741</v>
      </c>
      <c r="F691" s="51">
        <v>5</v>
      </c>
      <c r="G691" s="51">
        <v>15000</v>
      </c>
      <c r="H691" s="51">
        <f t="shared" si="8"/>
        <v>75000</v>
      </c>
    </row>
    <row r="692" spans="1:8" x14ac:dyDescent="0.25">
      <c r="A692" s="38">
        <f>+IF(B692="","",SUBTOTAL(3,$B$7:B692))</f>
        <v>686</v>
      </c>
      <c r="B692" s="40" t="s">
        <v>442</v>
      </c>
      <c r="C692" s="41">
        <v>45980</v>
      </c>
      <c r="D692" s="40" t="s">
        <v>716</v>
      </c>
      <c r="E692" s="38" t="s">
        <v>101</v>
      </c>
      <c r="F692" s="51">
        <v>4</v>
      </c>
      <c r="G692" s="51">
        <v>19200.009999999998</v>
      </c>
      <c r="H692" s="51">
        <f t="shared" si="8"/>
        <v>76800.039999999994</v>
      </c>
    </row>
    <row r="693" spans="1:8" x14ac:dyDescent="0.25">
      <c r="A693" s="38">
        <f>+IF(B693="","",SUBTOTAL(3,$B$7:B693))</f>
        <v>687</v>
      </c>
      <c r="B693" s="40" t="s">
        <v>710</v>
      </c>
      <c r="C693" s="41">
        <v>45980</v>
      </c>
      <c r="D693" s="40" t="s">
        <v>699</v>
      </c>
      <c r="E693" s="38" t="s">
        <v>101</v>
      </c>
      <c r="F693" s="51">
        <v>6</v>
      </c>
      <c r="G693" s="51">
        <v>1111.1099999999999</v>
      </c>
      <c r="H693" s="51">
        <f t="shared" si="8"/>
        <v>6666.66</v>
      </c>
    </row>
    <row r="694" spans="1:8" ht="30" x14ac:dyDescent="0.25">
      <c r="A694" s="38">
        <f>+IF(B694="","",SUBTOTAL(3,$B$7:B694))</f>
        <v>688</v>
      </c>
      <c r="B694" s="40" t="s">
        <v>710</v>
      </c>
      <c r="C694" s="41">
        <v>45980</v>
      </c>
      <c r="D694" s="40" t="s">
        <v>863</v>
      </c>
      <c r="E694" s="38" t="s">
        <v>753</v>
      </c>
      <c r="F694" s="51">
        <v>2</v>
      </c>
      <c r="G694" s="51">
        <v>7896</v>
      </c>
      <c r="H694" s="51">
        <f t="shared" si="8"/>
        <v>15792</v>
      </c>
    </row>
    <row r="695" spans="1:8" x14ac:dyDescent="0.25">
      <c r="A695" s="38">
        <f>+IF(B695="","",SUBTOTAL(3,$B$7:B695))</f>
        <v>689</v>
      </c>
      <c r="B695" s="40" t="s">
        <v>710</v>
      </c>
      <c r="C695" s="41">
        <v>45980</v>
      </c>
      <c r="D695" s="40" t="s">
        <v>194</v>
      </c>
      <c r="E695" s="38" t="s">
        <v>101</v>
      </c>
      <c r="F695" s="51">
        <v>4</v>
      </c>
      <c r="G695" s="51">
        <v>14000</v>
      </c>
      <c r="H695" s="51">
        <f t="shared" si="8"/>
        <v>56000</v>
      </c>
    </row>
    <row r="696" spans="1:8" x14ac:dyDescent="0.25">
      <c r="A696" s="38">
        <f>+IF(B696="","",SUBTOTAL(3,$B$7:B696))</f>
        <v>690</v>
      </c>
      <c r="B696" s="40" t="s">
        <v>705</v>
      </c>
      <c r="C696" s="41">
        <v>45982</v>
      </c>
      <c r="D696" s="40" t="s">
        <v>760</v>
      </c>
      <c r="E696" s="38" t="s">
        <v>101</v>
      </c>
      <c r="F696" s="51">
        <v>2</v>
      </c>
      <c r="G696" s="51">
        <v>29888</v>
      </c>
      <c r="H696" s="51">
        <f t="shared" si="8"/>
        <v>59776</v>
      </c>
    </row>
    <row r="697" spans="1:8" x14ac:dyDescent="0.25">
      <c r="A697" s="38">
        <f>+IF(B697="","",SUBTOTAL(3,$B$7:B697))</f>
        <v>691</v>
      </c>
      <c r="B697" s="40" t="s">
        <v>751</v>
      </c>
      <c r="C697" s="41">
        <v>45985</v>
      </c>
      <c r="D697" s="40" t="s">
        <v>699</v>
      </c>
      <c r="E697" s="38" t="s">
        <v>101</v>
      </c>
      <c r="F697" s="51">
        <v>1</v>
      </c>
      <c r="G697" s="51">
        <v>1111.1099999999999</v>
      </c>
      <c r="H697" s="51">
        <f t="shared" si="8"/>
        <v>1111.1099999999999</v>
      </c>
    </row>
    <row r="698" spans="1:8" x14ac:dyDescent="0.25">
      <c r="A698" s="38">
        <f>+IF(B698="","",SUBTOTAL(3,$B$7:B698))</f>
        <v>692</v>
      </c>
      <c r="B698" s="40" t="s">
        <v>751</v>
      </c>
      <c r="C698" s="41">
        <v>45985</v>
      </c>
      <c r="D698" s="40" t="s">
        <v>834</v>
      </c>
      <c r="E698" s="38" t="s">
        <v>140</v>
      </c>
      <c r="F698" s="51">
        <v>1</v>
      </c>
      <c r="G698" s="51">
        <v>41000</v>
      </c>
      <c r="H698" s="51">
        <f t="shared" si="8"/>
        <v>41000</v>
      </c>
    </row>
    <row r="699" spans="1:8" ht="60" x14ac:dyDescent="0.25">
      <c r="A699" s="38">
        <f>+IF(B699="","",SUBTOTAL(3,$B$7:B699))</f>
        <v>693</v>
      </c>
      <c r="B699" s="40" t="s">
        <v>799</v>
      </c>
      <c r="C699" s="41">
        <v>45986</v>
      </c>
      <c r="D699" s="40" t="s">
        <v>834</v>
      </c>
      <c r="E699" s="38" t="s">
        <v>140</v>
      </c>
      <c r="F699" s="51">
        <v>1</v>
      </c>
      <c r="G699" s="51">
        <v>41000</v>
      </c>
      <c r="H699" s="51">
        <f t="shared" si="8"/>
        <v>41000</v>
      </c>
    </row>
    <row r="700" spans="1:8" x14ac:dyDescent="0.25">
      <c r="A700" s="38">
        <f>+IF(B700="","",SUBTOTAL(3,$B$7:B700))</f>
        <v>694</v>
      </c>
      <c r="B700" s="40" t="s">
        <v>442</v>
      </c>
      <c r="C700" s="41">
        <v>45988</v>
      </c>
      <c r="D700" s="40" t="s">
        <v>846</v>
      </c>
      <c r="E700" s="38" t="s">
        <v>101</v>
      </c>
      <c r="F700" s="51">
        <v>48</v>
      </c>
      <c r="G700" s="51">
        <v>84000</v>
      </c>
      <c r="H700" s="51">
        <f t="shared" si="8"/>
        <v>4032000</v>
      </c>
    </row>
    <row r="701" spans="1:8" x14ac:dyDescent="0.25">
      <c r="A701" s="38">
        <f>+IF(B701="","",SUBTOTAL(3,$B$7:B701))</f>
        <v>695</v>
      </c>
      <c r="B701" s="40" t="s">
        <v>442</v>
      </c>
      <c r="C701" s="41">
        <v>45988</v>
      </c>
      <c r="D701" s="40" t="s">
        <v>847</v>
      </c>
      <c r="E701" s="38" t="s">
        <v>707</v>
      </c>
      <c r="F701" s="51">
        <v>200</v>
      </c>
      <c r="G701" s="51">
        <v>11200</v>
      </c>
      <c r="H701" s="51">
        <f t="shared" si="8"/>
        <v>2240000</v>
      </c>
    </row>
    <row r="702" spans="1:8" x14ac:dyDescent="0.25">
      <c r="A702" s="38">
        <f>+IF(B702="","",SUBTOTAL(3,$B$7:B702))</f>
        <v>696</v>
      </c>
      <c r="B702" s="40" t="s">
        <v>442</v>
      </c>
      <c r="C702" s="41">
        <v>45988</v>
      </c>
      <c r="D702" s="40" t="s">
        <v>848</v>
      </c>
      <c r="E702" s="38" t="s">
        <v>101</v>
      </c>
      <c r="F702" s="51">
        <v>158</v>
      </c>
      <c r="G702" s="51">
        <v>689920</v>
      </c>
      <c r="H702" s="51">
        <f t="shared" si="8"/>
        <v>109007360</v>
      </c>
    </row>
    <row r="703" spans="1:8" ht="30" x14ac:dyDescent="0.25">
      <c r="A703" s="38">
        <f>+IF(B703="","",SUBTOTAL(3,$B$7:B703))</f>
        <v>697</v>
      </c>
      <c r="B703" s="40" t="s">
        <v>442</v>
      </c>
      <c r="C703" s="41">
        <v>45988</v>
      </c>
      <c r="D703" s="40" t="s">
        <v>869</v>
      </c>
      <c r="E703" s="38" t="s">
        <v>741</v>
      </c>
      <c r="F703" s="51">
        <v>2</v>
      </c>
      <c r="G703" s="51">
        <v>89920</v>
      </c>
      <c r="H703" s="51">
        <f t="shared" si="8"/>
        <v>179840</v>
      </c>
    </row>
    <row r="704" spans="1:8" x14ac:dyDescent="0.25">
      <c r="A704" s="38">
        <f>+IF(B704="","",SUBTOTAL(3,$B$7:B704))</f>
        <v>698</v>
      </c>
      <c r="B704" s="40" t="s">
        <v>442</v>
      </c>
      <c r="C704" s="41">
        <v>45988</v>
      </c>
      <c r="D704" s="40" t="s">
        <v>849</v>
      </c>
      <c r="E704" s="38" t="s">
        <v>101</v>
      </c>
      <c r="F704" s="51">
        <v>10</v>
      </c>
      <c r="G704" s="51">
        <v>728000</v>
      </c>
      <c r="H704" s="51">
        <f t="shared" si="8"/>
        <v>7280000</v>
      </c>
    </row>
    <row r="705" spans="1:8" x14ac:dyDescent="0.25">
      <c r="A705" s="38">
        <f>+IF(B705="","",SUBTOTAL(3,$B$7:B705))</f>
        <v>699</v>
      </c>
      <c r="B705" s="40" t="s">
        <v>442</v>
      </c>
      <c r="C705" s="41">
        <v>45988</v>
      </c>
      <c r="D705" s="40" t="s">
        <v>850</v>
      </c>
      <c r="E705" s="38" t="s">
        <v>707</v>
      </c>
      <c r="F705" s="51">
        <v>150</v>
      </c>
      <c r="G705" s="51">
        <v>16800</v>
      </c>
      <c r="H705" s="51">
        <f t="shared" si="8"/>
        <v>2520000</v>
      </c>
    </row>
    <row r="706" spans="1:8" x14ac:dyDescent="0.25">
      <c r="A706" s="38">
        <f>+IF(B706="","",SUBTOTAL(3,$B$7:B706))</f>
        <v>700</v>
      </c>
      <c r="B706" s="40" t="s">
        <v>442</v>
      </c>
      <c r="C706" s="41">
        <v>45988</v>
      </c>
      <c r="D706" s="40" t="s">
        <v>851</v>
      </c>
      <c r="E706" s="38" t="s">
        <v>707</v>
      </c>
      <c r="F706" s="51">
        <v>350</v>
      </c>
      <c r="G706" s="51">
        <v>45920</v>
      </c>
      <c r="H706" s="51">
        <f t="shared" si="8"/>
        <v>16072000</v>
      </c>
    </row>
    <row r="707" spans="1:8" x14ac:dyDescent="0.25">
      <c r="A707" s="38">
        <f>+IF(B707="","",SUBTOTAL(3,$B$7:B707))</f>
        <v>701</v>
      </c>
      <c r="B707" s="40" t="s">
        <v>442</v>
      </c>
      <c r="C707" s="41">
        <v>45988</v>
      </c>
      <c r="D707" s="40" t="s">
        <v>852</v>
      </c>
      <c r="E707" s="38" t="s">
        <v>101</v>
      </c>
      <c r="F707" s="51">
        <v>30</v>
      </c>
      <c r="G707" s="51">
        <v>8960</v>
      </c>
      <c r="H707" s="51">
        <f t="shared" si="8"/>
        <v>268800</v>
      </c>
    </row>
    <row r="708" spans="1:8" x14ac:dyDescent="0.25">
      <c r="A708" s="38">
        <f>+IF(B708="","",SUBTOTAL(3,$B$7:B708))</f>
        <v>702</v>
      </c>
      <c r="B708" s="40" t="s">
        <v>705</v>
      </c>
      <c r="C708" s="41">
        <v>45994</v>
      </c>
      <c r="D708" s="40" t="s">
        <v>853</v>
      </c>
      <c r="E708" s="38" t="s">
        <v>101</v>
      </c>
      <c r="F708" s="51">
        <v>3000</v>
      </c>
      <c r="G708" s="51">
        <v>450</v>
      </c>
      <c r="H708" s="51">
        <f t="shared" si="8"/>
        <v>1350000</v>
      </c>
    </row>
    <row r="709" spans="1:8" x14ac:dyDescent="0.25">
      <c r="A709" s="38">
        <f>+IF(B709="","",SUBTOTAL(3,$B$7:B709))</f>
        <v>703</v>
      </c>
      <c r="B709" s="40" t="s">
        <v>705</v>
      </c>
      <c r="C709" s="41">
        <v>45994</v>
      </c>
      <c r="D709" s="40" t="s">
        <v>811</v>
      </c>
      <c r="E709" s="38" t="s">
        <v>101</v>
      </c>
      <c r="F709" s="51">
        <v>30000</v>
      </c>
      <c r="G709" s="51">
        <v>19.8</v>
      </c>
      <c r="H709" s="51">
        <f t="shared" si="8"/>
        <v>594000</v>
      </c>
    </row>
    <row r="710" spans="1:8" x14ac:dyDescent="0.25">
      <c r="A710" s="38">
        <f>+IF(B710="","",SUBTOTAL(3,$B$7:B710))</f>
        <v>704</v>
      </c>
      <c r="B710" s="40" t="s">
        <v>705</v>
      </c>
      <c r="C710" s="41">
        <v>45994</v>
      </c>
      <c r="D710" s="40" t="s">
        <v>813</v>
      </c>
      <c r="E710" s="38" t="s">
        <v>101</v>
      </c>
      <c r="F710" s="51">
        <v>20000</v>
      </c>
      <c r="G710" s="51">
        <v>19.8</v>
      </c>
      <c r="H710" s="51">
        <f t="shared" si="8"/>
        <v>396000</v>
      </c>
    </row>
    <row r="711" spans="1:8" x14ac:dyDescent="0.25">
      <c r="A711" s="38">
        <f>+IF(B711="","",SUBTOTAL(3,$B$7:B711))</f>
        <v>705</v>
      </c>
      <c r="B711" s="40" t="s">
        <v>705</v>
      </c>
      <c r="C711" s="41">
        <v>45994</v>
      </c>
      <c r="D711" s="40" t="s">
        <v>229</v>
      </c>
      <c r="E711" s="38" t="s">
        <v>741</v>
      </c>
      <c r="F711" s="51">
        <v>10</v>
      </c>
      <c r="G711" s="51">
        <v>32470</v>
      </c>
      <c r="H711" s="51">
        <f t="shared" si="8"/>
        <v>324700</v>
      </c>
    </row>
    <row r="712" spans="1:8" x14ac:dyDescent="0.25">
      <c r="A712" s="38">
        <f>+IF(B712="","",SUBTOTAL(3,$B$7:B712))</f>
        <v>706</v>
      </c>
      <c r="B712" s="40" t="s">
        <v>705</v>
      </c>
      <c r="C712" s="41">
        <v>45994</v>
      </c>
      <c r="D712" s="40" t="s">
        <v>100</v>
      </c>
      <c r="E712" s="38" t="s">
        <v>101</v>
      </c>
      <c r="F712" s="51">
        <v>10000</v>
      </c>
      <c r="G712" s="51">
        <v>140</v>
      </c>
      <c r="H712" s="51">
        <f t="shared" si="8"/>
        <v>1400000</v>
      </c>
    </row>
    <row r="713" spans="1:8" ht="30" x14ac:dyDescent="0.25">
      <c r="A713" s="38">
        <f>+IF(B713="","",SUBTOTAL(3,$B$7:B713))</f>
        <v>707</v>
      </c>
      <c r="B713" s="40" t="s">
        <v>442</v>
      </c>
      <c r="C713" s="41">
        <v>45995</v>
      </c>
      <c r="D713" s="40" t="s">
        <v>866</v>
      </c>
      <c r="E713" s="38" t="s">
        <v>101</v>
      </c>
      <c r="F713" s="51">
        <v>2</v>
      </c>
      <c r="G713" s="51">
        <v>8092</v>
      </c>
      <c r="H713" s="51">
        <f t="shared" si="8"/>
        <v>16184</v>
      </c>
    </row>
    <row r="714" spans="1:8" ht="30" x14ac:dyDescent="0.25">
      <c r="A714" s="38">
        <f>+IF(B714="","",SUBTOTAL(3,$B$7:B714))</f>
        <v>708</v>
      </c>
      <c r="B714" s="40" t="s">
        <v>442</v>
      </c>
      <c r="C714" s="41">
        <v>45995</v>
      </c>
      <c r="D714" s="40" t="s">
        <v>831</v>
      </c>
      <c r="E714" s="38" t="s">
        <v>753</v>
      </c>
      <c r="F714" s="51">
        <v>5</v>
      </c>
      <c r="G714" s="51">
        <v>13104</v>
      </c>
      <c r="H714" s="51">
        <f t="shared" si="8"/>
        <v>65520</v>
      </c>
    </row>
    <row r="715" spans="1:8" x14ac:dyDescent="0.25">
      <c r="A715" s="38">
        <f>+IF(B715="","",SUBTOTAL(3,$B$7:B715))</f>
        <v>709</v>
      </c>
      <c r="B715" s="40" t="s">
        <v>698</v>
      </c>
      <c r="C715" s="41">
        <v>45995</v>
      </c>
      <c r="D715" s="40" t="s">
        <v>699</v>
      </c>
      <c r="E715" s="38" t="s">
        <v>101</v>
      </c>
      <c r="F715" s="51">
        <v>6</v>
      </c>
      <c r="G715" s="51">
        <v>1111.1099999999999</v>
      </c>
      <c r="H715" s="51">
        <f t="shared" si="8"/>
        <v>6666.66</v>
      </c>
    </row>
    <row r="716" spans="1:8" x14ac:dyDescent="0.25">
      <c r="A716" s="38">
        <f>+IF(B716="","",SUBTOTAL(3,$B$7:B716))</f>
        <v>710</v>
      </c>
      <c r="B716" s="40" t="s">
        <v>698</v>
      </c>
      <c r="C716" s="41">
        <v>45995</v>
      </c>
      <c r="D716" s="40" t="s">
        <v>834</v>
      </c>
      <c r="E716" s="38" t="s">
        <v>140</v>
      </c>
      <c r="F716" s="51">
        <v>1</v>
      </c>
      <c r="G716" s="51">
        <v>41000</v>
      </c>
      <c r="H716" s="51">
        <f t="shared" si="8"/>
        <v>41000</v>
      </c>
    </row>
    <row r="717" spans="1:8" x14ac:dyDescent="0.25">
      <c r="A717" s="38">
        <f>+IF(B717="","",SUBTOTAL(3,$B$7:B717))</f>
        <v>711</v>
      </c>
      <c r="B717" s="40" t="s">
        <v>698</v>
      </c>
      <c r="C717" s="41">
        <v>45995</v>
      </c>
      <c r="D717" s="40" t="s">
        <v>841</v>
      </c>
      <c r="E717" s="38" t="s">
        <v>140</v>
      </c>
      <c r="F717" s="51">
        <v>2</v>
      </c>
      <c r="G717" s="51">
        <v>3143</v>
      </c>
      <c r="H717" s="51">
        <f t="shared" si="8"/>
        <v>6286</v>
      </c>
    </row>
    <row r="718" spans="1:8" x14ac:dyDescent="0.25">
      <c r="A718" s="38">
        <f>+IF(B718="","",SUBTOTAL(3,$B$7:B718))</f>
        <v>712</v>
      </c>
      <c r="B718" s="40" t="s">
        <v>698</v>
      </c>
      <c r="C718" s="41">
        <v>45995</v>
      </c>
      <c r="D718" s="40" t="s">
        <v>839</v>
      </c>
      <c r="E718" s="38" t="s">
        <v>101</v>
      </c>
      <c r="F718" s="51">
        <v>2</v>
      </c>
      <c r="G718" s="51">
        <v>13500</v>
      </c>
      <c r="H718" s="51">
        <f t="shared" si="8"/>
        <v>27000</v>
      </c>
    </row>
    <row r="719" spans="1:8" x14ac:dyDescent="0.25">
      <c r="A719" s="38">
        <f>+IF(B719="","",SUBTOTAL(3,$B$7:B719))</f>
        <v>713</v>
      </c>
      <c r="B719" s="40" t="s">
        <v>442</v>
      </c>
      <c r="C719" s="41">
        <v>46002</v>
      </c>
      <c r="D719" s="40" t="s">
        <v>763</v>
      </c>
      <c r="E719" s="38" t="s">
        <v>764</v>
      </c>
      <c r="F719" s="51">
        <v>60</v>
      </c>
      <c r="G719" s="51">
        <v>12400</v>
      </c>
      <c r="H719" s="51">
        <f t="shared" si="8"/>
        <v>744000</v>
      </c>
    </row>
    <row r="720" spans="1:8" x14ac:dyDescent="0.25">
      <c r="A720" s="38">
        <f>+IF(B720="","",SUBTOTAL(3,$B$7:B720))</f>
        <v>714</v>
      </c>
      <c r="B720" s="40" t="s">
        <v>442</v>
      </c>
      <c r="C720" s="41">
        <v>46002</v>
      </c>
      <c r="D720" s="40" t="s">
        <v>761</v>
      </c>
      <c r="E720" s="38" t="s">
        <v>741</v>
      </c>
      <c r="F720" s="51">
        <v>1</v>
      </c>
      <c r="G720" s="51">
        <v>157.94999999999999</v>
      </c>
      <c r="H720" s="51">
        <f t="shared" si="8"/>
        <v>157.94999999999999</v>
      </c>
    </row>
    <row r="721" spans="1:8" ht="30" x14ac:dyDescent="0.25">
      <c r="A721" s="38">
        <f>+IF(B721="","",SUBTOTAL(3,$B$7:B721))</f>
        <v>715</v>
      </c>
      <c r="B721" s="40" t="s">
        <v>477</v>
      </c>
      <c r="C721" s="41">
        <v>46003</v>
      </c>
      <c r="D721" s="40" t="s">
        <v>834</v>
      </c>
      <c r="E721" s="38" t="s">
        <v>140</v>
      </c>
      <c r="F721" s="51">
        <v>1</v>
      </c>
      <c r="G721" s="51">
        <v>41000</v>
      </c>
      <c r="H721" s="51">
        <f t="shared" si="8"/>
        <v>41000</v>
      </c>
    </row>
    <row r="722" spans="1:8" ht="30" x14ac:dyDescent="0.25">
      <c r="A722" s="38">
        <f>+IF(B722="","",SUBTOTAL(3,$B$7:B722))</f>
        <v>716</v>
      </c>
      <c r="B722" s="40" t="s">
        <v>477</v>
      </c>
      <c r="C722" s="41">
        <v>46003</v>
      </c>
      <c r="D722" s="40" t="s">
        <v>699</v>
      </c>
      <c r="E722" s="38" t="s">
        <v>101</v>
      </c>
      <c r="F722" s="51">
        <v>5</v>
      </c>
      <c r="G722" s="51">
        <v>1111.1099999999999</v>
      </c>
      <c r="H722" s="51">
        <f t="shared" si="8"/>
        <v>5555.5499999999993</v>
      </c>
    </row>
    <row r="723" spans="1:8" ht="30" x14ac:dyDescent="0.25">
      <c r="A723" s="38">
        <f>+IF(B723="","",SUBTOTAL(3,$B$7:B723))</f>
        <v>717</v>
      </c>
      <c r="B723" s="40" t="s">
        <v>477</v>
      </c>
      <c r="C723" s="41">
        <v>46003</v>
      </c>
      <c r="D723" s="40" t="s">
        <v>841</v>
      </c>
      <c r="E723" s="38" t="s">
        <v>140</v>
      </c>
      <c r="F723" s="51">
        <v>2</v>
      </c>
      <c r="G723" s="51">
        <v>3143</v>
      </c>
      <c r="H723" s="51">
        <f t="shared" si="8"/>
        <v>6286</v>
      </c>
    </row>
    <row r="724" spans="1:8" ht="30" x14ac:dyDescent="0.25">
      <c r="A724" s="38">
        <f>+IF(B724="","",SUBTOTAL(3,$B$7:B724))</f>
        <v>718</v>
      </c>
      <c r="B724" s="40" t="s">
        <v>477</v>
      </c>
      <c r="C724" s="41">
        <v>46003</v>
      </c>
      <c r="D724" s="40" t="s">
        <v>700</v>
      </c>
      <c r="E724" s="38" t="s">
        <v>101</v>
      </c>
      <c r="F724" s="51">
        <v>30</v>
      </c>
      <c r="G724" s="51">
        <v>1710</v>
      </c>
      <c r="H724" s="51">
        <f t="shared" si="8"/>
        <v>51300</v>
      </c>
    </row>
    <row r="725" spans="1:8" ht="30" x14ac:dyDescent="0.25">
      <c r="A725" s="38">
        <f>+IF(B725="","",SUBTOTAL(3,$B$7:B725))</f>
        <v>719</v>
      </c>
      <c r="B725" s="40" t="s">
        <v>477</v>
      </c>
      <c r="C725" s="41">
        <v>46003</v>
      </c>
      <c r="D725" s="40" t="s">
        <v>736</v>
      </c>
      <c r="E725" s="38" t="s">
        <v>140</v>
      </c>
      <c r="F725" s="51">
        <v>2</v>
      </c>
      <c r="G725" s="51">
        <v>4000</v>
      </c>
      <c r="H725" s="51">
        <f t="shared" si="8"/>
        <v>8000</v>
      </c>
    </row>
    <row r="726" spans="1:8" ht="30" x14ac:dyDescent="0.25">
      <c r="A726" s="38">
        <f>+IF(B726="","",SUBTOTAL(3,$B$7:B726))</f>
        <v>720</v>
      </c>
      <c r="B726" s="40" t="s">
        <v>477</v>
      </c>
      <c r="C726" s="41">
        <v>46003</v>
      </c>
      <c r="D726" s="40" t="s">
        <v>709</v>
      </c>
      <c r="E726" s="38" t="s">
        <v>101</v>
      </c>
      <c r="F726" s="51">
        <v>1</v>
      </c>
      <c r="G726" s="51">
        <v>10000</v>
      </c>
      <c r="H726" s="51">
        <f t="shared" si="8"/>
        <v>10000</v>
      </c>
    </row>
    <row r="727" spans="1:8" x14ac:dyDescent="0.25">
      <c r="A727" s="38">
        <f>+IF(B727="","",SUBTOTAL(3,$B$7:B727))</f>
        <v>721</v>
      </c>
      <c r="B727" s="40" t="s">
        <v>442</v>
      </c>
      <c r="C727" s="41">
        <v>46007</v>
      </c>
      <c r="D727" s="40" t="s">
        <v>854</v>
      </c>
      <c r="E727" s="38" t="s">
        <v>101</v>
      </c>
      <c r="F727" s="51">
        <v>16</v>
      </c>
      <c r="G727" s="51">
        <v>74000</v>
      </c>
      <c r="H727" s="51">
        <f t="shared" si="8"/>
        <v>1184000</v>
      </c>
    </row>
    <row r="728" spans="1:8" ht="30" x14ac:dyDescent="0.25">
      <c r="A728" s="38">
        <f>+IF(B728="","",SUBTOTAL(3,$B$7:B728))</f>
        <v>722</v>
      </c>
      <c r="B728" s="40" t="s">
        <v>442</v>
      </c>
      <c r="C728" s="41">
        <v>46007</v>
      </c>
      <c r="D728" s="40" t="s">
        <v>844</v>
      </c>
      <c r="E728" s="38" t="s">
        <v>101</v>
      </c>
      <c r="F728" s="51">
        <v>4</v>
      </c>
      <c r="G728" s="51">
        <v>9890</v>
      </c>
      <c r="H728" s="51">
        <f t="shared" si="8"/>
        <v>39560</v>
      </c>
    </row>
    <row r="729" spans="1:8" ht="30" x14ac:dyDescent="0.25">
      <c r="A729" s="38">
        <f>+IF(B729="","",SUBTOTAL(3,$B$7:B729))</f>
        <v>723</v>
      </c>
      <c r="B729" s="40" t="s">
        <v>442</v>
      </c>
      <c r="C729" s="41">
        <v>46007</v>
      </c>
      <c r="D729" s="40" t="s">
        <v>866</v>
      </c>
      <c r="E729" s="38" t="s">
        <v>101</v>
      </c>
      <c r="F729" s="51">
        <v>4</v>
      </c>
      <c r="G729" s="51">
        <v>8092</v>
      </c>
      <c r="H729" s="51">
        <f t="shared" si="8"/>
        <v>32368</v>
      </c>
    </row>
    <row r="730" spans="1:8" x14ac:dyDescent="0.25">
      <c r="A730" s="38">
        <f>+IF(B730="","",SUBTOTAL(3,$B$7:B730))</f>
        <v>724</v>
      </c>
      <c r="B730" s="40" t="s">
        <v>442</v>
      </c>
      <c r="C730" s="41">
        <v>46007</v>
      </c>
      <c r="D730" s="40" t="s">
        <v>804</v>
      </c>
      <c r="E730" s="38" t="s">
        <v>101</v>
      </c>
      <c r="F730" s="51">
        <v>1</v>
      </c>
      <c r="G730" s="51">
        <v>36999</v>
      </c>
      <c r="H730" s="51">
        <f t="shared" si="8"/>
        <v>36999</v>
      </c>
    </row>
    <row r="731" spans="1:8" x14ac:dyDescent="0.25">
      <c r="A731" s="38">
        <f>+IF(B731="","",SUBTOTAL(3,$B$7:B731))</f>
        <v>725</v>
      </c>
      <c r="B731" s="40" t="s">
        <v>442</v>
      </c>
      <c r="C731" s="41">
        <v>46007</v>
      </c>
      <c r="D731" s="40" t="s">
        <v>714</v>
      </c>
      <c r="E731" s="38" t="s">
        <v>101</v>
      </c>
      <c r="F731" s="51">
        <v>1</v>
      </c>
      <c r="G731" s="51">
        <v>20000</v>
      </c>
      <c r="H731" s="51">
        <f t="shared" si="8"/>
        <v>20000</v>
      </c>
    </row>
    <row r="732" spans="1:8" ht="30" x14ac:dyDescent="0.25">
      <c r="A732" s="38">
        <f>+IF(B732="","",SUBTOTAL(3,$B$7:B732))</f>
        <v>726</v>
      </c>
      <c r="B732" s="40" t="s">
        <v>442</v>
      </c>
      <c r="C732" s="41">
        <v>46007</v>
      </c>
      <c r="D732" s="40" t="s">
        <v>831</v>
      </c>
      <c r="E732" s="38" t="s">
        <v>753</v>
      </c>
      <c r="F732" s="51">
        <v>5</v>
      </c>
      <c r="G732" s="51">
        <v>13104</v>
      </c>
      <c r="H732" s="51">
        <f t="shared" si="8"/>
        <v>65520</v>
      </c>
    </row>
    <row r="733" spans="1:8" ht="30" x14ac:dyDescent="0.25">
      <c r="A733" s="38">
        <f>+IF(B733="","",SUBTOTAL(3,$B$7:B733))</f>
        <v>727</v>
      </c>
      <c r="B733" s="40" t="s">
        <v>449</v>
      </c>
      <c r="C733" s="41">
        <v>46008</v>
      </c>
      <c r="D733" s="40" t="s">
        <v>855</v>
      </c>
      <c r="E733" s="38" t="s">
        <v>101</v>
      </c>
      <c r="F733" s="51">
        <v>2</v>
      </c>
      <c r="G733" s="51">
        <v>310100</v>
      </c>
      <c r="H733" s="51">
        <f t="shared" si="8"/>
        <v>620200</v>
      </c>
    </row>
    <row r="734" spans="1:8" x14ac:dyDescent="0.25">
      <c r="A734" s="38">
        <f>+IF(B734="","",SUBTOTAL(3,$B$7:B734))</f>
        <v>728</v>
      </c>
      <c r="B734" s="40" t="s">
        <v>705</v>
      </c>
      <c r="C734" s="41">
        <v>46008</v>
      </c>
      <c r="D734" s="40" t="s">
        <v>812</v>
      </c>
      <c r="E734" s="38" t="s">
        <v>101</v>
      </c>
      <c r="F734" s="51">
        <v>40000</v>
      </c>
      <c r="G734" s="51">
        <v>19.8</v>
      </c>
      <c r="H734" s="51">
        <f t="shared" si="8"/>
        <v>792000</v>
      </c>
    </row>
    <row r="735" spans="1:8" x14ac:dyDescent="0.25">
      <c r="A735" s="38">
        <f>+IF(B735="","",SUBTOTAL(3,$B$7:B735))</f>
        <v>729</v>
      </c>
      <c r="B735" s="40" t="s">
        <v>705</v>
      </c>
      <c r="C735" s="41">
        <v>46008</v>
      </c>
      <c r="D735" s="40" t="s">
        <v>810</v>
      </c>
      <c r="E735" s="38" t="s">
        <v>101</v>
      </c>
      <c r="F735" s="51">
        <v>20000</v>
      </c>
      <c r="G735" s="51">
        <v>19.8</v>
      </c>
      <c r="H735" s="51">
        <f t="shared" si="8"/>
        <v>396000</v>
      </c>
    </row>
    <row r="736" spans="1:8" x14ac:dyDescent="0.25">
      <c r="A736" s="38">
        <f>+IF(B736="","",SUBTOTAL(3,$B$7:B736))</f>
        <v>730</v>
      </c>
      <c r="B736" s="40" t="s">
        <v>705</v>
      </c>
      <c r="C736" s="41">
        <v>46008</v>
      </c>
      <c r="D736" s="40" t="s">
        <v>811</v>
      </c>
      <c r="E736" s="38" t="s">
        <v>101</v>
      </c>
      <c r="F736" s="51">
        <v>30000</v>
      </c>
      <c r="G736" s="51">
        <v>19.8</v>
      </c>
      <c r="H736" s="51">
        <f t="shared" si="8"/>
        <v>594000</v>
      </c>
    </row>
    <row r="737" spans="1:8" x14ac:dyDescent="0.25">
      <c r="A737" s="38">
        <f>+IF(B737="","",SUBTOTAL(3,$B$7:B737))</f>
        <v>731</v>
      </c>
      <c r="B737" s="40" t="s">
        <v>705</v>
      </c>
      <c r="C737" s="41">
        <v>46008</v>
      </c>
      <c r="D737" s="40" t="s">
        <v>813</v>
      </c>
      <c r="E737" s="38" t="s">
        <v>101</v>
      </c>
      <c r="F737" s="51">
        <v>20000</v>
      </c>
      <c r="G737" s="51">
        <v>19.8</v>
      </c>
      <c r="H737" s="51">
        <f t="shared" si="8"/>
        <v>396000</v>
      </c>
    </row>
    <row r="738" spans="1:8" x14ac:dyDescent="0.25">
      <c r="A738" s="38">
        <f>+IF(B738="","",SUBTOTAL(3,$B$7:B738))</f>
        <v>732</v>
      </c>
      <c r="B738" s="40" t="s">
        <v>705</v>
      </c>
      <c r="C738" s="41">
        <v>46008</v>
      </c>
      <c r="D738" s="40" t="s">
        <v>758</v>
      </c>
      <c r="E738" s="38" t="s">
        <v>101</v>
      </c>
      <c r="F738" s="51">
        <v>5100</v>
      </c>
      <c r="G738" s="51">
        <v>34.950000000000003</v>
      </c>
      <c r="H738" s="51">
        <f t="shared" si="8"/>
        <v>178245</v>
      </c>
    </row>
    <row r="739" spans="1:8" x14ac:dyDescent="0.25">
      <c r="A739" s="38">
        <f>+IF(B739="","",SUBTOTAL(3,$B$7:B739))</f>
        <v>733</v>
      </c>
      <c r="B739" s="40" t="s">
        <v>705</v>
      </c>
      <c r="C739" s="41">
        <v>46008</v>
      </c>
      <c r="D739" s="40" t="s">
        <v>100</v>
      </c>
      <c r="E739" s="38" t="s">
        <v>101</v>
      </c>
      <c r="F739" s="51">
        <v>15000</v>
      </c>
      <c r="G739" s="51">
        <v>140</v>
      </c>
      <c r="H739" s="51">
        <f t="shared" si="8"/>
        <v>2100000</v>
      </c>
    </row>
    <row r="740" spans="1:8" x14ac:dyDescent="0.25">
      <c r="A740" s="38">
        <f>+IF(B740="","",SUBTOTAL(3,$B$7:B740))</f>
        <v>734</v>
      </c>
      <c r="B740" s="40" t="s">
        <v>705</v>
      </c>
      <c r="C740" s="41">
        <v>46008</v>
      </c>
      <c r="D740" s="40" t="s">
        <v>228</v>
      </c>
      <c r="E740" s="38" t="s">
        <v>741</v>
      </c>
      <c r="F740" s="51">
        <v>4</v>
      </c>
      <c r="G740" s="51">
        <v>58470</v>
      </c>
      <c r="H740" s="51">
        <f t="shared" si="8"/>
        <v>233880</v>
      </c>
    </row>
    <row r="741" spans="1:8" x14ac:dyDescent="0.25">
      <c r="A741" s="38">
        <f>+IF(B741="","",SUBTOTAL(3,$B$7:B741))</f>
        <v>735</v>
      </c>
      <c r="B741" s="40" t="s">
        <v>705</v>
      </c>
      <c r="C741" s="41">
        <v>46008</v>
      </c>
      <c r="D741" s="40" t="s">
        <v>229</v>
      </c>
      <c r="E741" s="38" t="s">
        <v>741</v>
      </c>
      <c r="F741" s="51">
        <v>10</v>
      </c>
      <c r="G741" s="51">
        <v>32470</v>
      </c>
      <c r="H741" s="51">
        <f t="shared" si="8"/>
        <v>324700</v>
      </c>
    </row>
    <row r="742" spans="1:8" ht="60" x14ac:dyDescent="0.25">
      <c r="A742" s="38">
        <f>+IF(B742="","",SUBTOTAL(3,$B$7:B742))</f>
        <v>736</v>
      </c>
      <c r="B742" s="40" t="s">
        <v>705</v>
      </c>
      <c r="C742" s="41">
        <v>46008</v>
      </c>
      <c r="D742" s="40" t="s">
        <v>859</v>
      </c>
      <c r="E742" s="38" t="s">
        <v>132</v>
      </c>
      <c r="F742" s="51">
        <v>5</v>
      </c>
      <c r="G742" s="51">
        <v>2150</v>
      </c>
      <c r="H742" s="51">
        <f t="shared" si="8"/>
        <v>10750</v>
      </c>
    </row>
    <row r="743" spans="1:8" x14ac:dyDescent="0.25">
      <c r="A743" s="38">
        <f>+IF(B743="","",SUBTOTAL(3,$B$7:B743))</f>
        <v>737</v>
      </c>
      <c r="B743" s="40" t="s">
        <v>705</v>
      </c>
      <c r="C743" s="41">
        <v>46008</v>
      </c>
      <c r="D743" s="40" t="s">
        <v>706</v>
      </c>
      <c r="E743" s="38" t="s">
        <v>707</v>
      </c>
      <c r="F743" s="51">
        <v>10</v>
      </c>
      <c r="G743" s="51">
        <v>9900</v>
      </c>
      <c r="H743" s="51">
        <f t="shared" si="8"/>
        <v>99000</v>
      </c>
    </row>
    <row r="744" spans="1:8" ht="30" x14ac:dyDescent="0.25">
      <c r="A744" s="38">
        <f>+IF(B744="","",SUBTOTAL(3,$B$7:B744))</f>
        <v>738</v>
      </c>
      <c r="B744" s="40" t="s">
        <v>705</v>
      </c>
      <c r="C744" s="41">
        <v>46008</v>
      </c>
      <c r="D744" s="40" t="s">
        <v>727</v>
      </c>
      <c r="E744" s="38" t="s">
        <v>101</v>
      </c>
      <c r="F744" s="51">
        <v>3</v>
      </c>
      <c r="G744" s="51">
        <v>3300</v>
      </c>
      <c r="H744" s="51">
        <f t="shared" si="8"/>
        <v>9900</v>
      </c>
    </row>
    <row r="745" spans="1:8" x14ac:dyDescent="0.25">
      <c r="A745" s="38">
        <f>+IF(B745="","",SUBTOTAL(3,$B$7:B745))</f>
        <v>739</v>
      </c>
      <c r="B745" s="40" t="s">
        <v>705</v>
      </c>
      <c r="C745" s="41">
        <v>46008</v>
      </c>
      <c r="D745" s="40" t="s">
        <v>699</v>
      </c>
      <c r="E745" s="38" t="s">
        <v>101</v>
      </c>
      <c r="F745" s="51">
        <v>30</v>
      </c>
      <c r="G745" s="51">
        <v>1111.1099999999999</v>
      </c>
      <c r="H745" s="51">
        <f t="shared" si="8"/>
        <v>33333.299999999996</v>
      </c>
    </row>
    <row r="746" spans="1:8" x14ac:dyDescent="0.25">
      <c r="A746" s="38">
        <f>+IF(B746="","",SUBTOTAL(3,$B$7:B746))</f>
        <v>740</v>
      </c>
      <c r="B746" s="40" t="s">
        <v>705</v>
      </c>
      <c r="C746" s="41">
        <v>46008</v>
      </c>
      <c r="D746" s="40" t="s">
        <v>700</v>
      </c>
      <c r="E746" s="38" t="s">
        <v>101</v>
      </c>
      <c r="F746" s="51">
        <v>30</v>
      </c>
      <c r="G746" s="51">
        <v>1710</v>
      </c>
      <c r="H746" s="51">
        <f t="shared" si="8"/>
        <v>51300</v>
      </c>
    </row>
    <row r="747" spans="1:8" x14ac:dyDescent="0.25">
      <c r="A747" s="38">
        <f>+IF(B747="","",SUBTOTAL(3,$B$7:B747))</f>
        <v>741</v>
      </c>
      <c r="B747" s="40" t="s">
        <v>751</v>
      </c>
      <c r="C747" s="41">
        <v>46008</v>
      </c>
      <c r="D747" s="40" t="s">
        <v>699</v>
      </c>
      <c r="E747" s="38" t="s">
        <v>101</v>
      </c>
      <c r="F747" s="51">
        <v>1</v>
      </c>
      <c r="G747" s="51">
        <v>1111.1099999999999</v>
      </c>
      <c r="H747" s="51">
        <f t="shared" si="8"/>
        <v>1111.1099999999999</v>
      </c>
    </row>
    <row r="748" spans="1:8" x14ac:dyDescent="0.25">
      <c r="A748" s="38">
        <f>+IF(B748="","",SUBTOTAL(3,$B$7:B748))</f>
        <v>742</v>
      </c>
      <c r="B748" s="40" t="s">
        <v>751</v>
      </c>
      <c r="C748" s="41">
        <v>46008</v>
      </c>
      <c r="D748" s="40" t="s">
        <v>175</v>
      </c>
      <c r="E748" s="38" t="s">
        <v>101</v>
      </c>
      <c r="F748" s="51">
        <v>1</v>
      </c>
      <c r="G748" s="51">
        <v>170000</v>
      </c>
      <c r="H748" s="51">
        <f t="shared" si="8"/>
        <v>170000</v>
      </c>
    </row>
    <row r="749" spans="1:8" ht="60" x14ac:dyDescent="0.25">
      <c r="A749" s="38">
        <f>+IF(B749="","",SUBTOTAL(3,$B$7:B749))</f>
        <v>743</v>
      </c>
      <c r="B749" s="40" t="s">
        <v>484</v>
      </c>
      <c r="C749" s="41">
        <v>46009</v>
      </c>
      <c r="D749" s="40" t="s">
        <v>736</v>
      </c>
      <c r="E749" s="38" t="s">
        <v>140</v>
      </c>
      <c r="F749" s="51">
        <v>2</v>
      </c>
      <c r="G749" s="51">
        <v>4000</v>
      </c>
      <c r="H749" s="51">
        <f t="shared" si="8"/>
        <v>8000</v>
      </c>
    </row>
    <row r="750" spans="1:8" ht="60" x14ac:dyDescent="0.25">
      <c r="A750" s="38">
        <f>+IF(B750="","",SUBTOTAL(3,$B$7:B750))</f>
        <v>744</v>
      </c>
      <c r="B750" s="40" t="s">
        <v>484</v>
      </c>
      <c r="C750" s="41">
        <v>46009</v>
      </c>
      <c r="D750" s="40" t="s">
        <v>841</v>
      </c>
      <c r="E750" s="38" t="s">
        <v>140</v>
      </c>
      <c r="F750" s="51">
        <v>4</v>
      </c>
      <c r="G750" s="51">
        <v>3143</v>
      </c>
      <c r="H750" s="51">
        <f t="shared" si="8"/>
        <v>12572</v>
      </c>
    </row>
    <row r="751" spans="1:8" ht="60" x14ac:dyDescent="0.25">
      <c r="A751" s="38">
        <f>+IF(B751="","",SUBTOTAL(3,$B$7:B751))</f>
        <v>745</v>
      </c>
      <c r="B751" s="40" t="s">
        <v>484</v>
      </c>
      <c r="C751" s="41">
        <v>46009</v>
      </c>
      <c r="D751" s="40" t="s">
        <v>709</v>
      </c>
      <c r="E751" s="38" t="s">
        <v>101</v>
      </c>
      <c r="F751" s="51">
        <v>2</v>
      </c>
      <c r="G751" s="51">
        <v>10000</v>
      </c>
      <c r="H751" s="51">
        <f t="shared" si="8"/>
        <v>20000</v>
      </c>
    </row>
    <row r="752" spans="1:8" ht="60" x14ac:dyDescent="0.25">
      <c r="A752" s="38">
        <f>+IF(B752="","",SUBTOTAL(3,$B$7:B752))</f>
        <v>746</v>
      </c>
      <c r="B752" s="40" t="s">
        <v>484</v>
      </c>
      <c r="C752" s="41">
        <v>46009</v>
      </c>
      <c r="D752" s="40" t="s">
        <v>699</v>
      </c>
      <c r="E752" s="38" t="s">
        <v>101</v>
      </c>
      <c r="F752" s="51">
        <v>8</v>
      </c>
      <c r="G752" s="51">
        <v>1111.1099999999999</v>
      </c>
      <c r="H752" s="51">
        <f t="shared" si="8"/>
        <v>8888.8799999999992</v>
      </c>
    </row>
    <row r="753" spans="1:8" ht="60" x14ac:dyDescent="0.25">
      <c r="A753" s="38">
        <f>+IF(B753="","",SUBTOTAL(3,$B$7:B753))</f>
        <v>747</v>
      </c>
      <c r="B753" s="40" t="s">
        <v>484</v>
      </c>
      <c r="C753" s="41">
        <v>46009</v>
      </c>
      <c r="D753" s="40" t="s">
        <v>739</v>
      </c>
      <c r="E753" s="38" t="s">
        <v>101</v>
      </c>
      <c r="F753" s="51">
        <v>1</v>
      </c>
      <c r="G753" s="51">
        <v>81000</v>
      </c>
      <c r="H753" s="51">
        <f t="shared" si="8"/>
        <v>81000</v>
      </c>
    </row>
    <row r="754" spans="1:8" ht="60" x14ac:dyDescent="0.25">
      <c r="A754" s="38">
        <f>+IF(B754="","",SUBTOTAL(3,$B$7:B754))</f>
        <v>748</v>
      </c>
      <c r="B754" s="40" t="s">
        <v>484</v>
      </c>
      <c r="C754" s="41">
        <v>46009</v>
      </c>
      <c r="D754" s="40" t="s">
        <v>834</v>
      </c>
      <c r="E754" s="38" t="s">
        <v>140</v>
      </c>
      <c r="F754" s="51">
        <v>2</v>
      </c>
      <c r="G754" s="51">
        <v>41000</v>
      </c>
      <c r="H754" s="51">
        <f t="shared" si="8"/>
        <v>82000</v>
      </c>
    </row>
    <row r="755" spans="1:8" ht="60" x14ac:dyDescent="0.25">
      <c r="A755" s="38">
        <f>+IF(B755="","",SUBTOTAL(3,$B$7:B755))</f>
        <v>749</v>
      </c>
      <c r="B755" s="40" t="s">
        <v>484</v>
      </c>
      <c r="C755" s="41">
        <v>46009</v>
      </c>
      <c r="D755" s="40" t="s">
        <v>814</v>
      </c>
      <c r="E755" s="38" t="s">
        <v>101</v>
      </c>
      <c r="F755" s="51">
        <v>4</v>
      </c>
      <c r="G755" s="51">
        <v>1000</v>
      </c>
      <c r="H755" s="51">
        <f t="shared" si="8"/>
        <v>4000</v>
      </c>
    </row>
    <row r="756" spans="1:8" x14ac:dyDescent="0.25">
      <c r="A756" s="38">
        <f>+IF(B756="","",SUBTOTAL(3,$B$7:B756))</f>
        <v>750</v>
      </c>
      <c r="B756" s="40" t="s">
        <v>717</v>
      </c>
      <c r="C756" s="41">
        <v>46014</v>
      </c>
      <c r="D756" s="40" t="s">
        <v>834</v>
      </c>
      <c r="E756" s="38" t="s">
        <v>140</v>
      </c>
      <c r="F756" s="51">
        <v>2</v>
      </c>
      <c r="G756" s="51">
        <v>41000</v>
      </c>
      <c r="H756" s="51">
        <f t="shared" si="8"/>
        <v>82000</v>
      </c>
    </row>
    <row r="757" spans="1:8" x14ac:dyDescent="0.25">
      <c r="A757" s="38">
        <f>+IF(B757="","",SUBTOTAL(3,$B$7:B757))</f>
        <v>751</v>
      </c>
      <c r="B757" s="40" t="s">
        <v>717</v>
      </c>
      <c r="C757" s="41">
        <v>46014</v>
      </c>
      <c r="D757" s="40" t="s">
        <v>841</v>
      </c>
      <c r="E757" s="38" t="s">
        <v>140</v>
      </c>
      <c r="F757" s="51">
        <v>2</v>
      </c>
      <c r="G757" s="51">
        <v>3143</v>
      </c>
      <c r="H757" s="51">
        <f t="shared" si="8"/>
        <v>6286</v>
      </c>
    </row>
    <row r="758" spans="1:8" x14ac:dyDescent="0.25">
      <c r="A758" s="38">
        <f>+IF(B758="","",SUBTOTAL(3,$B$7:B758))</f>
        <v>752</v>
      </c>
      <c r="B758" s="40" t="s">
        <v>717</v>
      </c>
      <c r="C758" s="41">
        <v>46014</v>
      </c>
      <c r="D758" s="40" t="s">
        <v>700</v>
      </c>
      <c r="E758" s="38" t="s">
        <v>101</v>
      </c>
      <c r="F758" s="51">
        <v>10</v>
      </c>
      <c r="G758" s="51">
        <v>1710</v>
      </c>
      <c r="H758" s="51">
        <f t="shared" si="8"/>
        <v>17100</v>
      </c>
    </row>
    <row r="759" spans="1:8" x14ac:dyDescent="0.25">
      <c r="A759" s="38">
        <f>+IF(B759="","",SUBTOTAL(3,$B$7:B759))</f>
        <v>753</v>
      </c>
      <c r="B759" s="40" t="s">
        <v>717</v>
      </c>
      <c r="C759" s="41">
        <v>46014</v>
      </c>
      <c r="D759" s="40" t="s">
        <v>736</v>
      </c>
      <c r="E759" s="38" t="s">
        <v>140</v>
      </c>
      <c r="F759" s="51">
        <v>1</v>
      </c>
      <c r="G759" s="51">
        <v>4000</v>
      </c>
      <c r="H759" s="51">
        <f t="shared" si="8"/>
        <v>4000</v>
      </c>
    </row>
    <row r="760" spans="1:8" x14ac:dyDescent="0.25">
      <c r="A760" s="38">
        <f>+IF(B760="","",SUBTOTAL(3,$B$7:B760))</f>
        <v>754</v>
      </c>
      <c r="B760" s="40" t="s">
        <v>717</v>
      </c>
      <c r="C760" s="41">
        <v>46014</v>
      </c>
      <c r="D760" s="40" t="s">
        <v>839</v>
      </c>
      <c r="E760" s="38" t="s">
        <v>101</v>
      </c>
      <c r="F760" s="51">
        <v>5</v>
      </c>
      <c r="G760" s="51">
        <v>13500</v>
      </c>
      <c r="H760" s="51">
        <f t="shared" si="8"/>
        <v>67500</v>
      </c>
    </row>
    <row r="761" spans="1:8" ht="30" x14ac:dyDescent="0.25">
      <c r="A761" s="38">
        <f>+IF(B761="","",SUBTOTAL(3,$B$7:B761))</f>
        <v>755</v>
      </c>
      <c r="B761" s="40" t="s">
        <v>442</v>
      </c>
      <c r="C761" s="41">
        <v>46014</v>
      </c>
      <c r="D761" s="40" t="s">
        <v>727</v>
      </c>
      <c r="E761" s="38" t="s">
        <v>101</v>
      </c>
      <c r="F761" s="51">
        <v>9</v>
      </c>
      <c r="G761" s="51">
        <v>3300</v>
      </c>
      <c r="H761" s="51">
        <f t="shared" si="8"/>
        <v>29700</v>
      </c>
    </row>
    <row r="762" spans="1:8" x14ac:dyDescent="0.25">
      <c r="A762" s="38">
        <f>+IF(B762="","",SUBTOTAL(3,$B$7:B762))</f>
        <v>756</v>
      </c>
      <c r="B762" s="40" t="s">
        <v>442</v>
      </c>
      <c r="C762" s="41">
        <v>46014</v>
      </c>
      <c r="D762" s="40" t="s">
        <v>731</v>
      </c>
      <c r="E762" s="38" t="s">
        <v>101</v>
      </c>
      <c r="F762" s="51">
        <v>5</v>
      </c>
      <c r="G762" s="51">
        <v>8000</v>
      </c>
      <c r="H762" s="51">
        <f t="shared" si="8"/>
        <v>40000</v>
      </c>
    </row>
    <row r="763" spans="1:8" ht="30" x14ac:dyDescent="0.25">
      <c r="A763" s="38">
        <f>+IF(B763="","",SUBTOTAL(3,$B$7:B763))</f>
        <v>757</v>
      </c>
      <c r="B763" s="40" t="s">
        <v>442</v>
      </c>
      <c r="C763" s="41">
        <v>46014</v>
      </c>
      <c r="D763" s="40" t="s">
        <v>845</v>
      </c>
      <c r="E763" s="38" t="s">
        <v>101</v>
      </c>
      <c r="F763" s="51">
        <v>9</v>
      </c>
      <c r="G763" s="51">
        <v>68000</v>
      </c>
      <c r="H763" s="51">
        <f t="shared" si="8"/>
        <v>612000</v>
      </c>
    </row>
    <row r="764" spans="1:8" ht="30" x14ac:dyDescent="0.25">
      <c r="A764" s="38">
        <f>+IF(B764="","",SUBTOTAL(3,$B$7:B764))</f>
        <v>758</v>
      </c>
      <c r="B764" s="40" t="s">
        <v>442</v>
      </c>
      <c r="C764" s="41">
        <v>46014</v>
      </c>
      <c r="D764" s="40" t="s">
        <v>844</v>
      </c>
      <c r="E764" s="38" t="s">
        <v>101</v>
      </c>
      <c r="F764" s="51">
        <v>5</v>
      </c>
      <c r="G764" s="51">
        <v>9890</v>
      </c>
      <c r="H764" s="51">
        <f t="shared" si="8"/>
        <v>49450</v>
      </c>
    </row>
    <row r="765" spans="1:8" x14ac:dyDescent="0.25">
      <c r="A765" s="38">
        <f>+IF(B765="","",SUBTOTAL(3,$B$7:B765))</f>
        <v>759</v>
      </c>
      <c r="B765" s="40" t="s">
        <v>442</v>
      </c>
      <c r="C765" s="41">
        <v>46014</v>
      </c>
      <c r="D765" s="40" t="s">
        <v>731</v>
      </c>
      <c r="E765" s="38" t="s">
        <v>101</v>
      </c>
      <c r="F765" s="51">
        <v>9</v>
      </c>
      <c r="G765" s="51">
        <v>26000</v>
      </c>
      <c r="H765" s="51">
        <f t="shared" si="8"/>
        <v>234000</v>
      </c>
    </row>
    <row r="766" spans="1:8" x14ac:dyDescent="0.25">
      <c r="A766" s="38">
        <f>+IF(B766="","",SUBTOTAL(3,$B$7:B766))</f>
        <v>760</v>
      </c>
      <c r="B766" s="40" t="s">
        <v>442</v>
      </c>
      <c r="C766" s="41">
        <v>46014</v>
      </c>
      <c r="D766" s="40" t="s">
        <v>820</v>
      </c>
      <c r="E766" s="38" t="s">
        <v>101</v>
      </c>
      <c r="F766" s="51">
        <v>3</v>
      </c>
      <c r="G766" s="51">
        <v>14765.62</v>
      </c>
      <c r="H766" s="51">
        <f t="shared" si="8"/>
        <v>44296.86</v>
      </c>
    </row>
    <row r="767" spans="1:8" x14ac:dyDescent="0.25">
      <c r="A767" s="38">
        <f>+IF(B767="","",SUBTOTAL(3,$B$7:B767))</f>
        <v>761</v>
      </c>
      <c r="B767" s="40" t="s">
        <v>442</v>
      </c>
      <c r="C767" s="41">
        <v>46014</v>
      </c>
      <c r="D767" s="40" t="s">
        <v>732</v>
      </c>
      <c r="E767" s="38" t="s">
        <v>132</v>
      </c>
      <c r="F767" s="51">
        <v>4</v>
      </c>
      <c r="G767" s="51">
        <v>5454</v>
      </c>
      <c r="H767" s="51">
        <f t="shared" si="8"/>
        <v>21816</v>
      </c>
    </row>
    <row r="768" spans="1:8" x14ac:dyDescent="0.25">
      <c r="A768" s="38">
        <f>+IF(B768="","",SUBTOTAL(3,$B$7:B768))</f>
        <v>762</v>
      </c>
      <c r="B768" s="40" t="s">
        <v>442</v>
      </c>
      <c r="C768" s="41">
        <v>46014</v>
      </c>
      <c r="D768" s="40" t="s">
        <v>143</v>
      </c>
      <c r="E768" s="38" t="s">
        <v>741</v>
      </c>
      <c r="F768" s="51">
        <v>5</v>
      </c>
      <c r="G768" s="51">
        <v>15000</v>
      </c>
      <c r="H768" s="51">
        <f t="shared" si="8"/>
        <v>75000</v>
      </c>
    </row>
    <row r="769" spans="1:8" x14ac:dyDescent="0.25">
      <c r="A769" s="38">
        <f>+IF(B769="","",SUBTOTAL(3,$B$7:B769))</f>
        <v>763</v>
      </c>
      <c r="B769" s="40" t="s">
        <v>442</v>
      </c>
      <c r="C769" s="41">
        <v>46014</v>
      </c>
      <c r="D769" s="40" t="s">
        <v>804</v>
      </c>
      <c r="E769" s="38" t="s">
        <v>101</v>
      </c>
      <c r="F769" s="51">
        <v>1</v>
      </c>
      <c r="G769" s="51">
        <v>36999</v>
      </c>
      <c r="H769" s="51">
        <f t="shared" si="8"/>
        <v>36999</v>
      </c>
    </row>
    <row r="770" spans="1:8" x14ac:dyDescent="0.25">
      <c r="A770" s="38">
        <f>+IF(B770="","",SUBTOTAL(3,$B$7:B770))</f>
        <v>764</v>
      </c>
      <c r="B770" s="40" t="s">
        <v>442</v>
      </c>
      <c r="C770" s="41">
        <v>46014</v>
      </c>
      <c r="D770" s="40" t="s">
        <v>832</v>
      </c>
      <c r="E770" s="38" t="s">
        <v>101</v>
      </c>
      <c r="F770" s="51">
        <v>9</v>
      </c>
      <c r="G770" s="51">
        <v>31000</v>
      </c>
      <c r="H770" s="51">
        <f t="shared" si="8"/>
        <v>279000</v>
      </c>
    </row>
    <row r="771" spans="1:8" ht="30" x14ac:dyDescent="0.25">
      <c r="A771" s="38">
        <f>+IF(B771="","",SUBTOTAL(3,$B$7:B771))</f>
        <v>765</v>
      </c>
      <c r="B771" s="40" t="s">
        <v>442</v>
      </c>
      <c r="C771" s="41">
        <v>46014</v>
      </c>
      <c r="D771" s="40" t="s">
        <v>866</v>
      </c>
      <c r="E771" s="38" t="s">
        <v>101</v>
      </c>
      <c r="F771" s="51">
        <v>4</v>
      </c>
      <c r="G771" s="51">
        <v>8092</v>
      </c>
      <c r="H771" s="51">
        <f t="shared" si="8"/>
        <v>32368</v>
      </c>
    </row>
    <row r="772" spans="1:8" ht="30" x14ac:dyDescent="0.25">
      <c r="A772" s="38">
        <f>+IF(B772="","",SUBTOTAL(3,$B$7:B772))</f>
        <v>766</v>
      </c>
      <c r="B772" s="40" t="s">
        <v>442</v>
      </c>
      <c r="C772" s="41">
        <v>46014</v>
      </c>
      <c r="D772" s="40" t="s">
        <v>831</v>
      </c>
      <c r="E772" s="38" t="s">
        <v>753</v>
      </c>
      <c r="F772" s="51">
        <v>5</v>
      </c>
      <c r="G772" s="51">
        <v>13104</v>
      </c>
      <c r="H772" s="51">
        <f t="shared" si="8"/>
        <v>65520</v>
      </c>
    </row>
    <row r="773" spans="1:8" x14ac:dyDescent="0.25">
      <c r="A773" s="38">
        <f>+IF(B773="","",SUBTOTAL(3,$B$7:B773))</f>
        <v>767</v>
      </c>
      <c r="B773" s="40" t="s">
        <v>442</v>
      </c>
      <c r="C773" s="41">
        <v>46014</v>
      </c>
      <c r="D773" s="40" t="s">
        <v>714</v>
      </c>
      <c r="E773" s="38" t="s">
        <v>101</v>
      </c>
      <c r="F773" s="51">
        <v>1</v>
      </c>
      <c r="G773" s="51">
        <v>20000</v>
      </c>
      <c r="H773" s="51">
        <f t="shared" si="8"/>
        <v>20000</v>
      </c>
    </row>
    <row r="774" spans="1:8" x14ac:dyDescent="0.25">
      <c r="A774" s="38">
        <f>+IF(B774="","",SUBTOTAL(3,$B$7:B774))</f>
        <v>768</v>
      </c>
      <c r="B774" s="40" t="s">
        <v>442</v>
      </c>
      <c r="C774" s="41">
        <v>46014</v>
      </c>
      <c r="D774" s="40" t="s">
        <v>856</v>
      </c>
      <c r="E774" s="38" t="s">
        <v>101</v>
      </c>
      <c r="F774" s="51">
        <v>12</v>
      </c>
      <c r="G774" s="51">
        <v>12500</v>
      </c>
      <c r="H774" s="51">
        <f t="shared" si="8"/>
        <v>150000</v>
      </c>
    </row>
    <row r="775" spans="1:8" ht="30" x14ac:dyDescent="0.25">
      <c r="A775" s="38">
        <f>+IF(B775="","",SUBTOTAL(3,$B$7:B775))</f>
        <v>769</v>
      </c>
      <c r="B775" s="40" t="s">
        <v>442</v>
      </c>
      <c r="C775" s="41">
        <v>46014</v>
      </c>
      <c r="D775" s="40" t="s">
        <v>767</v>
      </c>
      <c r="E775" s="38" t="s">
        <v>101</v>
      </c>
      <c r="F775" s="51">
        <v>10</v>
      </c>
      <c r="G775" s="51">
        <v>16998</v>
      </c>
      <c r="H775" s="51">
        <f t="shared" si="8"/>
        <v>169980</v>
      </c>
    </row>
    <row r="776" spans="1:8" ht="30" x14ac:dyDescent="0.25">
      <c r="A776" s="38">
        <f>+IF(B776="","",SUBTOTAL(3,$B$7:B776))</f>
        <v>770</v>
      </c>
      <c r="B776" s="40" t="s">
        <v>710</v>
      </c>
      <c r="C776" s="41">
        <v>46014</v>
      </c>
      <c r="D776" s="40" t="s">
        <v>863</v>
      </c>
      <c r="E776" s="38" t="s">
        <v>753</v>
      </c>
      <c r="F776" s="51">
        <v>2</v>
      </c>
      <c r="G776" s="51">
        <v>7896</v>
      </c>
      <c r="H776" s="51">
        <f t="shared" si="8"/>
        <v>15792</v>
      </c>
    </row>
    <row r="777" spans="1:8" x14ac:dyDescent="0.25">
      <c r="A777" s="38">
        <f>+IF(B777="","",SUBTOTAL(3,$B$7:B777))</f>
        <v>771</v>
      </c>
      <c r="B777" s="40" t="s">
        <v>710</v>
      </c>
      <c r="C777" s="41">
        <v>46014</v>
      </c>
      <c r="D777" s="40" t="s">
        <v>699</v>
      </c>
      <c r="E777" s="38" t="s">
        <v>101</v>
      </c>
      <c r="F777" s="51">
        <v>6</v>
      </c>
      <c r="G777" s="51">
        <v>1111.1099999999999</v>
      </c>
      <c r="H777" s="51">
        <f t="shared" si="8"/>
        <v>6666.66</v>
      </c>
    </row>
    <row r="778" spans="1:8" x14ac:dyDescent="0.25">
      <c r="A778" s="38">
        <f>+IF(B778="","",SUBTOTAL(3,$B$7:B778))</f>
        <v>772</v>
      </c>
      <c r="B778" s="40" t="s">
        <v>710</v>
      </c>
      <c r="C778" s="41">
        <v>46014</v>
      </c>
      <c r="D778" s="40" t="s">
        <v>194</v>
      </c>
      <c r="E778" s="38" t="s">
        <v>101</v>
      </c>
      <c r="F778" s="51">
        <v>4</v>
      </c>
      <c r="G778" s="51">
        <v>14000</v>
      </c>
      <c r="H778" s="51">
        <f t="shared" si="8"/>
        <v>56000</v>
      </c>
    </row>
    <row r="779" spans="1:8" x14ac:dyDescent="0.25">
      <c r="A779" s="38">
        <f>+IF(B779="","",SUBTOTAL(3,$B$7:B779))</f>
        <v>773</v>
      </c>
      <c r="B779" s="40" t="s">
        <v>451</v>
      </c>
      <c r="C779" s="41">
        <v>46014</v>
      </c>
      <c r="D779" s="40" t="s">
        <v>772</v>
      </c>
      <c r="E779" s="38" t="s">
        <v>101</v>
      </c>
      <c r="F779" s="51">
        <v>200</v>
      </c>
      <c r="G779" s="51">
        <v>1188</v>
      </c>
      <c r="H779" s="51">
        <f t="shared" si="8"/>
        <v>237600</v>
      </c>
    </row>
    <row r="780" spans="1:8" x14ac:dyDescent="0.25">
      <c r="A780" s="38">
        <f>+IF(B780="","",SUBTOTAL(3,$B$7:B780))</f>
        <v>774</v>
      </c>
      <c r="B780" s="40" t="s">
        <v>451</v>
      </c>
      <c r="C780" s="41">
        <v>46014</v>
      </c>
      <c r="D780" s="40" t="s">
        <v>761</v>
      </c>
      <c r="E780" s="38" t="s">
        <v>741</v>
      </c>
      <c r="F780" s="51">
        <v>5.0999999999999996</v>
      </c>
      <c r="G780" s="51">
        <v>157.94999999999999</v>
      </c>
      <c r="H780" s="51">
        <f t="shared" si="8"/>
        <v>805.54499999999985</v>
      </c>
    </row>
    <row r="781" spans="1:8" x14ac:dyDescent="0.25">
      <c r="A781" s="38">
        <f>+IF(B781="","",SUBTOTAL(3,$B$7:B781))</f>
        <v>775</v>
      </c>
      <c r="B781" s="40" t="s">
        <v>451</v>
      </c>
      <c r="C781" s="41">
        <v>46014</v>
      </c>
      <c r="D781" s="40" t="s">
        <v>699</v>
      </c>
      <c r="E781" s="38" t="s">
        <v>101</v>
      </c>
      <c r="F781" s="51">
        <v>6</v>
      </c>
      <c r="G781" s="51">
        <v>1111.1099999999999</v>
      </c>
      <c r="H781" s="51">
        <f t="shared" si="8"/>
        <v>6666.66</v>
      </c>
    </row>
    <row r="782" spans="1:8" x14ac:dyDescent="0.25">
      <c r="A782" s="38">
        <f>+IF(B782="","",SUBTOTAL(3,$B$7:B782))</f>
        <v>776</v>
      </c>
      <c r="B782" s="40" t="s">
        <v>451</v>
      </c>
      <c r="C782" s="41">
        <v>46014</v>
      </c>
      <c r="D782" s="40" t="s">
        <v>194</v>
      </c>
      <c r="E782" s="38" t="s">
        <v>101</v>
      </c>
      <c r="F782" s="51">
        <v>1</v>
      </c>
      <c r="G782" s="51">
        <v>14000</v>
      </c>
      <c r="H782" s="51">
        <f t="shared" si="8"/>
        <v>14000</v>
      </c>
    </row>
    <row r="783" spans="1:8" x14ac:dyDescent="0.25">
      <c r="A783" s="38">
        <f>+IF(B783="","",SUBTOTAL(3,$B$7:B783))</f>
        <v>777</v>
      </c>
      <c r="B783" s="40" t="s">
        <v>451</v>
      </c>
      <c r="C783" s="41">
        <v>46014</v>
      </c>
      <c r="D783" s="40" t="s">
        <v>829</v>
      </c>
      <c r="E783" s="38" t="s">
        <v>101</v>
      </c>
      <c r="F783" s="51">
        <v>50</v>
      </c>
      <c r="G783" s="51">
        <v>960</v>
      </c>
      <c r="H783" s="51">
        <f t="shared" si="8"/>
        <v>48000</v>
      </c>
    </row>
    <row r="784" spans="1:8" x14ac:dyDescent="0.25">
      <c r="A784" s="38">
        <f>+IF(B784="","",SUBTOTAL(3,$B$7:B784))</f>
        <v>778</v>
      </c>
      <c r="B784" s="40" t="s">
        <v>451</v>
      </c>
      <c r="C784" s="41">
        <v>46014</v>
      </c>
      <c r="D784" s="40" t="s">
        <v>736</v>
      </c>
      <c r="E784" s="38" t="s">
        <v>140</v>
      </c>
      <c r="F784" s="51">
        <v>3</v>
      </c>
      <c r="G784" s="51">
        <v>4000</v>
      </c>
      <c r="H784" s="51">
        <f t="shared" si="8"/>
        <v>12000</v>
      </c>
    </row>
    <row r="785" spans="1:8" x14ac:dyDescent="0.25">
      <c r="A785" s="38">
        <f>+IF(B785="","",SUBTOTAL(3,$B$7:B785))</f>
        <v>779</v>
      </c>
      <c r="B785" s="40" t="s">
        <v>451</v>
      </c>
      <c r="C785" s="41">
        <v>46014</v>
      </c>
      <c r="D785" s="40" t="s">
        <v>700</v>
      </c>
      <c r="E785" s="38" t="s">
        <v>101</v>
      </c>
      <c r="F785" s="51">
        <v>15</v>
      </c>
      <c r="G785" s="51">
        <v>1710</v>
      </c>
      <c r="H785" s="51">
        <f t="shared" si="8"/>
        <v>25650</v>
      </c>
    </row>
    <row r="786" spans="1:8" x14ac:dyDescent="0.25">
      <c r="A786" s="38">
        <f>+IF(B786="","",SUBTOTAL(3,$B$7:B786))</f>
        <v>780</v>
      </c>
      <c r="B786" s="40" t="s">
        <v>451</v>
      </c>
      <c r="C786" s="41">
        <v>46014</v>
      </c>
      <c r="D786" s="40" t="s">
        <v>870</v>
      </c>
      <c r="E786" s="38" t="s">
        <v>101</v>
      </c>
      <c r="F786" s="51">
        <v>50</v>
      </c>
      <c r="G786" s="51">
        <v>850</v>
      </c>
      <c r="H786" s="51">
        <f t="shared" si="8"/>
        <v>42500</v>
      </c>
    </row>
    <row r="787" spans="1:8" x14ac:dyDescent="0.25">
      <c r="A787" s="38">
        <f>+IF(B787="","",SUBTOTAL(3,$B$7:B787))</f>
        <v>781</v>
      </c>
      <c r="B787" s="40" t="s">
        <v>451</v>
      </c>
      <c r="C787" s="41">
        <v>46014</v>
      </c>
      <c r="D787" s="40" t="s">
        <v>709</v>
      </c>
      <c r="E787" s="38" t="s">
        <v>101</v>
      </c>
      <c r="F787" s="51">
        <v>1</v>
      </c>
      <c r="G787" s="51">
        <v>10000</v>
      </c>
      <c r="H787" s="51">
        <f t="shared" si="8"/>
        <v>10000</v>
      </c>
    </row>
    <row r="788" spans="1:8" x14ac:dyDescent="0.25">
      <c r="A788" s="38">
        <f>+IF(B788="","",SUBTOTAL(3,$B$7:B788))</f>
        <v>782</v>
      </c>
      <c r="B788" s="40" t="s">
        <v>451</v>
      </c>
      <c r="C788" s="41">
        <v>46014</v>
      </c>
      <c r="D788" s="40" t="s">
        <v>841</v>
      </c>
      <c r="E788" s="38" t="s">
        <v>140</v>
      </c>
      <c r="F788" s="51">
        <v>3</v>
      </c>
      <c r="G788" s="51">
        <v>3143</v>
      </c>
      <c r="H788" s="51">
        <f t="shared" si="8"/>
        <v>9429</v>
      </c>
    </row>
    <row r="789" spans="1:8" x14ac:dyDescent="0.25">
      <c r="A789" s="38">
        <f>+IF(B789="","",SUBTOTAL(3,$B$7:B789))</f>
        <v>783</v>
      </c>
      <c r="B789" s="40" t="s">
        <v>451</v>
      </c>
      <c r="C789" s="41">
        <v>46015</v>
      </c>
      <c r="D789" s="40" t="s">
        <v>857</v>
      </c>
      <c r="E789" s="38" t="s">
        <v>101</v>
      </c>
      <c r="F789" s="51">
        <v>10</v>
      </c>
      <c r="G789" s="51">
        <v>155400</v>
      </c>
      <c r="H789" s="51">
        <f t="shared" si="8"/>
        <v>1554000</v>
      </c>
    </row>
    <row r="790" spans="1:8" ht="45" x14ac:dyDescent="0.25">
      <c r="A790" s="38">
        <f>+IF(B790="","",SUBTOTAL(3,$B$7:B790))</f>
        <v>784</v>
      </c>
      <c r="B790" s="40" t="s">
        <v>737</v>
      </c>
      <c r="C790" s="41">
        <v>46016</v>
      </c>
      <c r="D790" s="40" t="s">
        <v>834</v>
      </c>
      <c r="E790" s="38" t="s">
        <v>140</v>
      </c>
      <c r="F790" s="51">
        <v>1</v>
      </c>
      <c r="G790" s="51">
        <v>41000</v>
      </c>
      <c r="H790" s="51">
        <f t="shared" si="8"/>
        <v>41000</v>
      </c>
    </row>
    <row r="791" spans="1:8" ht="45" x14ac:dyDescent="0.25">
      <c r="A791" s="38">
        <f>+IF(B791="","",SUBTOTAL(3,$B$7:B791))</f>
        <v>785</v>
      </c>
      <c r="B791" s="40" t="s">
        <v>737</v>
      </c>
      <c r="C791" s="41">
        <v>46016</v>
      </c>
      <c r="D791" s="40" t="s">
        <v>839</v>
      </c>
      <c r="E791" s="38" t="s">
        <v>101</v>
      </c>
      <c r="F791" s="51">
        <v>10</v>
      </c>
      <c r="G791" s="51">
        <v>13500</v>
      </c>
      <c r="H791" s="51">
        <f t="shared" si="8"/>
        <v>135000</v>
      </c>
    </row>
    <row r="792" spans="1:8" ht="45" x14ac:dyDescent="0.25">
      <c r="A792" s="38">
        <f>+IF(B792="","",SUBTOTAL(3,$B$7:B792))</f>
        <v>786</v>
      </c>
      <c r="B792" s="40" t="s">
        <v>737</v>
      </c>
      <c r="C792" s="41">
        <v>46016</v>
      </c>
      <c r="D792" s="40" t="s">
        <v>699</v>
      </c>
      <c r="E792" s="38" t="s">
        <v>101</v>
      </c>
      <c r="F792" s="51">
        <v>5</v>
      </c>
      <c r="G792" s="51">
        <v>1111.1099999999999</v>
      </c>
      <c r="H792" s="51">
        <f t="shared" si="8"/>
        <v>5555.5499999999993</v>
      </c>
    </row>
    <row r="793" spans="1:8" ht="45" x14ac:dyDescent="0.25">
      <c r="A793" s="38">
        <f>+IF(B793="","",SUBTOTAL(3,$B$7:B793))</f>
        <v>787</v>
      </c>
      <c r="B793" s="40" t="s">
        <v>737</v>
      </c>
      <c r="C793" s="41">
        <v>46016</v>
      </c>
      <c r="D793" s="40" t="s">
        <v>814</v>
      </c>
      <c r="E793" s="38" t="s">
        <v>101</v>
      </c>
      <c r="F793" s="51">
        <v>5</v>
      </c>
      <c r="G793" s="51">
        <v>1000</v>
      </c>
      <c r="H793" s="51">
        <f t="shared" si="8"/>
        <v>5000</v>
      </c>
    </row>
    <row r="794" spans="1:8" ht="45" x14ac:dyDescent="0.25">
      <c r="A794" s="38">
        <f>+IF(B794="","",SUBTOTAL(3,$B$7:B794))</f>
        <v>788</v>
      </c>
      <c r="B794" s="40" t="s">
        <v>737</v>
      </c>
      <c r="C794" s="41">
        <v>46016</v>
      </c>
      <c r="D794" s="40" t="s">
        <v>770</v>
      </c>
      <c r="E794" s="38" t="s">
        <v>101</v>
      </c>
      <c r="F794" s="51">
        <v>1</v>
      </c>
      <c r="G794" s="51">
        <v>70000</v>
      </c>
      <c r="H794" s="51">
        <f t="shared" si="8"/>
        <v>70000</v>
      </c>
    </row>
    <row r="795" spans="1:8" ht="45" x14ac:dyDescent="0.25">
      <c r="A795" s="38">
        <f>+IF(B795="","",SUBTOTAL(3,$B$7:B795))</f>
        <v>789</v>
      </c>
      <c r="B795" s="40" t="s">
        <v>737</v>
      </c>
      <c r="C795" s="41">
        <v>46016</v>
      </c>
      <c r="D795" s="40" t="s">
        <v>736</v>
      </c>
      <c r="E795" s="38" t="s">
        <v>140</v>
      </c>
      <c r="F795" s="51">
        <v>1</v>
      </c>
      <c r="G795" s="51">
        <v>4000</v>
      </c>
      <c r="H795" s="51">
        <f t="shared" si="8"/>
        <v>4000</v>
      </c>
    </row>
    <row r="796" spans="1:8" ht="30" x14ac:dyDescent="0.25">
      <c r="A796" s="38">
        <f>+IF(B796="","",SUBTOTAL(3,$B$7:B796))</f>
        <v>790</v>
      </c>
      <c r="B796" s="40" t="s">
        <v>449</v>
      </c>
      <c r="C796" s="41">
        <v>46020</v>
      </c>
      <c r="D796" s="40" t="s">
        <v>735</v>
      </c>
      <c r="E796" s="38" t="s">
        <v>101</v>
      </c>
      <c r="F796" s="51">
        <v>2</v>
      </c>
      <c r="G796" s="51">
        <v>280720</v>
      </c>
      <c r="H796" s="51">
        <f t="shared" si="8"/>
        <v>561440</v>
      </c>
    </row>
    <row r="797" spans="1:8" ht="45" x14ac:dyDescent="0.25">
      <c r="A797" s="38">
        <f>+IF(B797="","",SUBTOTAL(3,$B$7:B797))</f>
        <v>791</v>
      </c>
      <c r="B797" s="40" t="s">
        <v>449</v>
      </c>
      <c r="C797" s="41">
        <v>46020</v>
      </c>
      <c r="D797" s="40" t="s">
        <v>858</v>
      </c>
      <c r="E797" s="38" t="s">
        <v>101</v>
      </c>
      <c r="F797" s="51">
        <v>4</v>
      </c>
      <c r="G797" s="51">
        <v>95000</v>
      </c>
      <c r="H797" s="51">
        <f t="shared" si="8"/>
        <v>380000</v>
      </c>
    </row>
    <row r="798" spans="1:8" x14ac:dyDescent="0.25">
      <c r="C798" s="31"/>
    </row>
    <row r="799" spans="1:8" x14ac:dyDescent="0.25">
      <c r="C799" s="31"/>
    </row>
    <row r="800" spans="1:8" x14ac:dyDescent="0.25">
      <c r="C800" s="31"/>
    </row>
    <row r="801" spans="3:3" x14ac:dyDescent="0.25">
      <c r="C801" s="31"/>
    </row>
    <row r="802" spans="3:3" x14ac:dyDescent="0.25">
      <c r="C802" s="31"/>
    </row>
    <row r="803" spans="3:3" x14ac:dyDescent="0.25">
      <c r="C803" s="31"/>
    </row>
    <row r="804" spans="3:3" x14ac:dyDescent="0.25">
      <c r="C804" s="31"/>
    </row>
    <row r="805" spans="3:3" x14ac:dyDescent="0.25">
      <c r="C805" s="31"/>
    </row>
    <row r="806" spans="3:3" x14ac:dyDescent="0.25">
      <c r="C806" s="31"/>
    </row>
    <row r="807" spans="3:3" x14ac:dyDescent="0.25">
      <c r="C807" s="31"/>
    </row>
    <row r="808" spans="3:3" x14ac:dyDescent="0.25">
      <c r="C808" s="31"/>
    </row>
    <row r="809" spans="3:3" x14ac:dyDescent="0.25">
      <c r="C809" s="31"/>
    </row>
    <row r="810" spans="3:3" x14ac:dyDescent="0.25">
      <c r="C810" s="31"/>
    </row>
    <row r="811" spans="3:3" x14ac:dyDescent="0.25">
      <c r="C811" s="31"/>
    </row>
    <row r="812" spans="3:3" x14ac:dyDescent="0.25">
      <c r="C812" s="31"/>
    </row>
    <row r="813" spans="3:3" x14ac:dyDescent="0.25">
      <c r="C813" s="31"/>
    </row>
    <row r="814" spans="3:3" x14ac:dyDescent="0.25">
      <c r="C814" s="31"/>
    </row>
    <row r="815" spans="3:3" x14ac:dyDescent="0.25">
      <c r="C815" s="31"/>
    </row>
    <row r="816" spans="3:3" x14ac:dyDescent="0.25">
      <c r="C816" s="31"/>
    </row>
    <row r="817" spans="3:3" x14ac:dyDescent="0.25">
      <c r="C817" s="31"/>
    </row>
    <row r="818" spans="3:3" x14ac:dyDescent="0.25">
      <c r="C818" s="31"/>
    </row>
    <row r="819" spans="3:3" x14ac:dyDescent="0.25">
      <c r="C819" s="31"/>
    </row>
    <row r="820" spans="3:3" x14ac:dyDescent="0.25">
      <c r="C820" s="31"/>
    </row>
    <row r="821" spans="3:3" x14ac:dyDescent="0.25">
      <c r="C821" s="31"/>
    </row>
    <row r="822" spans="3:3" x14ac:dyDescent="0.25">
      <c r="C822" s="31"/>
    </row>
    <row r="823" spans="3:3" x14ac:dyDescent="0.25">
      <c r="C823" s="31"/>
    </row>
    <row r="824" spans="3:3" x14ac:dyDescent="0.25">
      <c r="C824" s="31"/>
    </row>
    <row r="825" spans="3:3" x14ac:dyDescent="0.25">
      <c r="C825" s="31"/>
    </row>
    <row r="826" spans="3:3" x14ac:dyDescent="0.25">
      <c r="C826" s="31"/>
    </row>
    <row r="827" spans="3:3" x14ac:dyDescent="0.25">
      <c r="C827" s="31"/>
    </row>
    <row r="828" spans="3:3" x14ac:dyDescent="0.25">
      <c r="C828" s="31"/>
    </row>
    <row r="829" spans="3:3" x14ac:dyDescent="0.25">
      <c r="C829" s="31"/>
    </row>
  </sheetData>
  <autoFilter ref="A6:H797"/>
  <mergeCells count="1">
    <mergeCell ref="A1:H1"/>
  </mergeCells>
  <printOptions horizontalCentered="1"/>
  <pageMargins left="0.19685039370078741" right="0.19685039370078741" top="0.59055118110236227" bottom="0.19685039370078741" header="0" footer="0"/>
  <pageSetup paperSize="9" fitToHeight="10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2</vt:i4>
      </vt:variant>
    </vt:vector>
  </HeadingPairs>
  <TitlesOfParts>
    <vt:vector size="10" baseType="lpstr">
      <vt:lpstr>даромад харажат</vt:lpstr>
      <vt:lpstr>Выслуга 2025</vt:lpstr>
      <vt:lpstr>Таътил</vt:lpstr>
      <vt:lpstr>50-60 ёш</vt:lpstr>
      <vt:lpstr>Больничный</vt:lpstr>
      <vt:lpstr>Дафн</vt:lpstr>
      <vt:lpstr>шартномалар</vt:lpstr>
      <vt:lpstr>омбор чиким</vt:lpstr>
      <vt:lpstr>шартномалар!Заголовки_для_печати</vt:lpstr>
      <vt:lpstr>шартномалар!Область_печати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2025-12-16T11:23:24Z</dcterms:created>
  <dcterms:modified xsi:type="dcterms:W3CDTF">2026-02-16T09:35:58Z</dcterms:modified>
</cp:coreProperties>
</file>